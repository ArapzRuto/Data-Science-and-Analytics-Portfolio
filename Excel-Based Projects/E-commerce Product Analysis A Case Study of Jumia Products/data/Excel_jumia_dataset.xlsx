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HP\OneDrive\Desktop\LuxDev Tutorials\MS Excel\Jumia Product Performance Project\"/>
    </mc:Choice>
  </mc:AlternateContent>
  <xr:revisionPtr revIDLastSave="0" documentId="13_ncr:1_{80B69C41-31DA-4275-AC75-8DDF6861BE5D}" xr6:coauthVersionLast="47" xr6:coauthVersionMax="47" xr10:uidLastSave="{00000000-0000-0000-0000-000000000000}"/>
  <bookViews>
    <workbookView xWindow="-110" yWindow="-110" windowWidth="19420" windowHeight="10300" firstSheet="1" activeTab="3" xr2:uid="{C43518E4-A820-4BB5-9EF6-092C83966C18}"/>
  </bookViews>
  <sheets>
    <sheet name="Excel_jumia_dataset " sheetId="1" r:id="rId1"/>
    <sheet name="Descriptive Statistics" sheetId="3" r:id="rId2"/>
    <sheet name="Analyse trends and product perf" sheetId="12" r:id="rId3"/>
    <sheet name="working_copy" sheetId="2" r:id="rId4"/>
    <sheet name="Additional Pivot Tables" sheetId="13" r:id="rId5"/>
    <sheet name="KPIs" sheetId="6" r:id="rId6"/>
    <sheet name="Slicers" sheetId="14" r:id="rId7"/>
    <sheet name="Dashboard" sheetId="7" r:id="rId8"/>
  </sheets>
  <definedNames>
    <definedName name="_xlcn.WorksheetConnection_Excel_jumia_dataset.xlsxTable41" hidden="1">Table4</definedName>
    <definedName name="Slicer_discount_category">#N/A</definedName>
    <definedName name="Slicer_price_category">#N/A</definedName>
    <definedName name="Slicer_rating_category">#N/A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Excel_jumia_dataset.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a="1"/>
  <c r="K3" i="2" a="1"/>
  <c r="K4" i="2" a="1"/>
  <c r="K5" i="2" a="1"/>
  <c r="K6" i="2" a="1"/>
  <c r="K7" i="2" a="1"/>
  <c r="K8" i="2" a="1"/>
  <c r="K9" i="2" a="1"/>
  <c r="K10" i="2" a="1"/>
  <c r="K11" i="2" a="1"/>
  <c r="K12" i="2" a="1"/>
  <c r="K13" i="2" a="1"/>
  <c r="K14" i="2" a="1"/>
  <c r="K15" i="2" a="1"/>
  <c r="K16" i="2" a="1"/>
  <c r="K17" i="2" a="1"/>
  <c r="K18" i="2" a="1"/>
  <c r="K19" i="2" a="1"/>
  <c r="K20" i="2" a="1"/>
  <c r="K21" i="2" a="1"/>
  <c r="K22" i="2" a="1"/>
  <c r="K23" i="2" a="1"/>
  <c r="K24" i="2" a="1"/>
  <c r="K25" i="2" a="1"/>
  <c r="K26" i="2" a="1"/>
  <c r="K27" i="2" a="1"/>
  <c r="K28" i="2" a="1"/>
  <c r="K29" i="2" a="1"/>
  <c r="K30" i="2" a="1"/>
  <c r="K31" i="2" a="1"/>
  <c r="K32" i="2" a="1"/>
  <c r="K33" i="2" a="1"/>
  <c r="K34" i="2" a="1"/>
  <c r="K35" i="2" a="1"/>
  <c r="K36" i="2" a="1"/>
  <c r="K37" i="2" a="1"/>
  <c r="K38" i="2" a="1"/>
  <c r="K39" i="2" a="1"/>
  <c r="K40" i="2" a="1"/>
  <c r="K41" i="2" a="1"/>
  <c r="K42" i="2" a="1"/>
  <c r="K43" i="2" a="1"/>
  <c r="K44" i="2" a="1"/>
  <c r="K45" i="2" a="1"/>
  <c r="K46" i="2" a="1"/>
  <c r="K47" i="2" a="1"/>
  <c r="K48" i="2" a="1"/>
  <c r="K49" i="2" a="1"/>
  <c r="K50" i="2" a="1"/>
  <c r="K51" i="2" a="1"/>
  <c r="K52" i="2" a="1"/>
  <c r="K53" i="2" a="1"/>
  <c r="K54" i="2" a="1"/>
  <c r="K55" i="2" a="1"/>
  <c r="K56" i="2" a="1"/>
  <c r="K57" i="2" a="1"/>
  <c r="K58" i="2" a="1"/>
  <c r="K59" i="2" a="1"/>
  <c r="K60" i="2" a="1"/>
  <c r="K61" i="2" a="1"/>
  <c r="K62" i="2" a="1"/>
  <c r="K63" i="2" a="1"/>
  <c r="K64" i="2" a="1"/>
  <c r="K65" i="2" a="1"/>
  <c r="K66" i="2" a="1"/>
  <c r="K67" i="2" a="1"/>
  <c r="K68" i="2" a="1"/>
  <c r="K69" i="2" a="1"/>
  <c r="K70" i="2" a="1"/>
  <c r="K71" i="2" a="1"/>
  <c r="K72" i="2" a="1"/>
  <c r="K73" i="2" a="1"/>
  <c r="K74" i="2" a="1"/>
  <c r="K75" i="2" a="1"/>
  <c r="K76" i="2" a="1"/>
  <c r="K77" i="2" a="1"/>
  <c r="K78" i="2" a="1"/>
  <c r="K79" i="2" a="1"/>
  <c r="K80" i="2" a="1"/>
  <c r="K81" i="2" a="1"/>
  <c r="K82" i="2" a="1"/>
  <c r="K83" i="2" a="1"/>
  <c r="K84" i="2" a="1"/>
  <c r="K85" i="2" a="1"/>
  <c r="K86" i="2" a="1"/>
  <c r="K87" i="2" a="1"/>
  <c r="K88" i="2" a="1"/>
  <c r="K89" i="2" a="1"/>
  <c r="K90" i="2" a="1"/>
  <c r="K91" i="2" a="1"/>
  <c r="K92" i="2" a="1"/>
  <c r="K93" i="2" a="1"/>
  <c r="K94" i="2" a="1"/>
  <c r="K95" i="2" a="1"/>
  <c r="K96" i="2" a="1"/>
  <c r="K97" i="2" a="1"/>
  <c r="K98" i="2" a="1"/>
  <c r="K99" i="2" a="1"/>
  <c r="K100" i="2" a="1"/>
  <c r="K101" i="2" a="1"/>
  <c r="K102" i="2" a="1"/>
  <c r="K103" i="2" a="1"/>
  <c r="K104" i="2" a="1"/>
  <c r="K105" i="2" a="1"/>
  <c r="K106" i="2" a="1"/>
  <c r="K107" i="2" a="1"/>
  <c r="K108" i="2" a="1"/>
  <c r="K109" i="2" a="1"/>
  <c r="K110" i="2" a="1"/>
  <c r="A6" i="12"/>
  <c r="C6" i="12" s="1"/>
  <c r="C11" i="6"/>
  <c r="C9" i="6"/>
  <c r="C3" i="6"/>
  <c r="C5" i="6"/>
  <c r="C7" i="6"/>
  <c r="I111" i="2"/>
  <c r="J111" i="2"/>
  <c r="D2" i="2" a="1"/>
  <c r="D3" i="2" a="1"/>
  <c r="D4" i="2" a="1"/>
  <c r="D5" i="2" a="1"/>
  <c r="D6" i="2" a="1"/>
  <c r="D7" i="2" a="1"/>
  <c r="D8" i="2" a="1"/>
  <c r="D9" i="2" a="1"/>
  <c r="D10" i="2" a="1"/>
  <c r="D11" i="2" a="1"/>
  <c r="D12" i="2" a="1"/>
  <c r="D13" i="2" a="1"/>
  <c r="D14" i="2" a="1"/>
  <c r="D15" i="2" a="1"/>
  <c r="D16" i="2" a="1"/>
  <c r="D17" i="2" a="1"/>
  <c r="D18" i="2" a="1"/>
  <c r="D19" i="2" a="1"/>
  <c r="D20" i="2" a="1"/>
  <c r="D21" i="2" a="1"/>
  <c r="D22" i="2" a="1"/>
  <c r="D23" i="2" a="1"/>
  <c r="D24" i="2" a="1"/>
  <c r="D25" i="2" a="1"/>
  <c r="D26" i="2" a="1"/>
  <c r="D27" i="2" a="1"/>
  <c r="D28" i="2" a="1"/>
  <c r="D29" i="2" a="1"/>
  <c r="D30" i="2" a="1"/>
  <c r="D31" i="2" a="1"/>
  <c r="D32" i="2" a="1"/>
  <c r="D33" i="2" a="1"/>
  <c r="D34" i="2" a="1"/>
  <c r="D35" i="2" a="1"/>
  <c r="D36" i="2" a="1"/>
  <c r="D37" i="2" a="1"/>
  <c r="D38" i="2" a="1"/>
  <c r="D39" i="2" a="1"/>
  <c r="D40" i="2" a="1"/>
  <c r="D41" i="2" a="1"/>
  <c r="D42" i="2" a="1"/>
  <c r="D43" i="2" a="1"/>
  <c r="D44" i="2" a="1"/>
  <c r="D45" i="2" a="1"/>
  <c r="D46" i="2" a="1"/>
  <c r="D47" i="2" a="1"/>
  <c r="D48" i="2" a="1"/>
  <c r="D49" i="2" a="1"/>
  <c r="D50" i="2" a="1"/>
  <c r="D51" i="2" a="1"/>
  <c r="D52" i="2" a="1"/>
  <c r="D53" i="2" a="1"/>
  <c r="D54" i="2" a="1"/>
  <c r="D55" i="2" a="1"/>
  <c r="D56" i="2" a="1"/>
  <c r="D57" i="2" a="1"/>
  <c r="D58" i="2" a="1"/>
  <c r="D59" i="2" a="1"/>
  <c r="D60" i="2" a="1"/>
  <c r="D61" i="2" a="1"/>
  <c r="D62" i="2" a="1"/>
  <c r="D63" i="2" a="1"/>
  <c r="D64" i="2" a="1"/>
  <c r="D65" i="2" a="1"/>
  <c r="D66" i="2" a="1"/>
  <c r="D67" i="2" a="1"/>
  <c r="D68" i="2" a="1"/>
  <c r="D69" i="2" a="1"/>
  <c r="D70" i="2" a="1"/>
  <c r="D71" i="2" a="1"/>
  <c r="D72" i="2" a="1"/>
  <c r="D73" i="2" a="1"/>
  <c r="D74" i="2" a="1"/>
  <c r="D75" i="2" a="1"/>
  <c r="D76" i="2" a="1"/>
  <c r="D77" i="2" a="1"/>
  <c r="D78" i="2" a="1"/>
  <c r="D79" i="2" a="1"/>
  <c r="D80" i="2" a="1"/>
  <c r="D81" i="2" a="1"/>
  <c r="D82" i="2" a="1"/>
  <c r="D83" i="2" a="1"/>
  <c r="D84" i="2" a="1"/>
  <c r="D85" i="2" a="1"/>
  <c r="D86" i="2" a="1"/>
  <c r="D87" i="2" a="1"/>
  <c r="D88" i="2" a="1"/>
  <c r="D89" i="2" a="1"/>
  <c r="D90" i="2" a="1"/>
  <c r="D91" i="2" a="1"/>
  <c r="D92" i="2" a="1"/>
  <c r="D93" i="2" a="1"/>
  <c r="D94" i="2" a="1"/>
  <c r="D95" i="2" a="1"/>
  <c r="D96" i="2" a="1"/>
  <c r="D97" i="2" a="1"/>
  <c r="D98" i="2" a="1"/>
  <c r="D99" i="2" a="1"/>
  <c r="D100" i="2" a="1"/>
  <c r="D101" i="2" a="1"/>
  <c r="D102" i="2" a="1"/>
  <c r="D103" i="2" a="1"/>
  <c r="D104" i="2" a="1"/>
  <c r="D105" i="2" a="1"/>
  <c r="D106" i="2" a="1"/>
  <c r="D107" i="2" a="1"/>
  <c r="D108" i="2" a="1"/>
  <c r="D109" i="2" a="1"/>
  <c r="D110" i="2" a="1"/>
  <c r="E2" i="2"/>
  <c r="F2" i="2" s="1"/>
  <c r="E3" i="2"/>
  <c r="F3" i="2" s="1"/>
  <c r="H3" i="2" s="1" a="1"/>
  <c r="H2" i="2" s="1"/>
  <c r="E4" i="2"/>
  <c r="F4" i="2" s="1"/>
  <c r="H4" i="2" s="1" a="1"/>
  <c r="E5" i="2"/>
  <c r="F5" i="2" s="1"/>
  <c r="H5" i="2" s="1" a="1"/>
  <c r="E6" i="2"/>
  <c r="F6" i="2" s="1"/>
  <c r="H6" i="2" s="1" a="1"/>
  <c r="E7" i="2"/>
  <c r="F7" i="2" s="1"/>
  <c r="H7" i="2" s="1" a="1"/>
  <c r="E8" i="2"/>
  <c r="F8" i="2" s="1"/>
  <c r="H8" i="2" s="1" a="1"/>
  <c r="E9" i="2"/>
  <c r="F9" i="2" s="1"/>
  <c r="H9" i="2" s="1" a="1"/>
  <c r="E10" i="2"/>
  <c r="F10" i="2" s="1"/>
  <c r="H10" i="2" s="1" a="1"/>
  <c r="E11" i="2"/>
  <c r="F11" i="2" s="1"/>
  <c r="H11" i="2" s="1" a="1"/>
  <c r="E12" i="2"/>
  <c r="F12" i="2" s="1"/>
  <c r="H12" i="2" s="1" a="1"/>
  <c r="E13" i="2"/>
  <c r="F13" i="2" s="1"/>
  <c r="H13" i="2" s="1" a="1"/>
  <c r="E14" i="2"/>
  <c r="F14" i="2" s="1"/>
  <c r="H14" i="2" s="1" a="1"/>
  <c r="E15" i="2"/>
  <c r="F15" i="2" s="1"/>
  <c r="H15" i="2" s="1" a="1"/>
  <c r="E16" i="2"/>
  <c r="F16" i="2" s="1"/>
  <c r="H16" i="2" s="1" a="1"/>
  <c r="E17" i="2"/>
  <c r="F17" i="2" s="1"/>
  <c r="H17" i="2" s="1" a="1"/>
  <c r="E18" i="2"/>
  <c r="F18" i="2" s="1"/>
  <c r="H18" i="2" s="1" a="1"/>
  <c r="E19" i="2"/>
  <c r="F19" i="2" s="1"/>
  <c r="H19" i="2" s="1" a="1"/>
  <c r="E20" i="2"/>
  <c r="F20" i="2" s="1"/>
  <c r="H20" i="2" s="1" a="1"/>
  <c r="E21" i="2"/>
  <c r="F21" i="2" s="1"/>
  <c r="H21" i="2" s="1" a="1"/>
  <c r="E22" i="2"/>
  <c r="F22" i="2" s="1"/>
  <c r="H22" i="2" s="1" a="1"/>
  <c r="E23" i="2"/>
  <c r="F23" i="2" s="1"/>
  <c r="H23" i="2" s="1" a="1"/>
  <c r="E24" i="2"/>
  <c r="F24" i="2" s="1"/>
  <c r="H24" i="2" s="1" a="1"/>
  <c r="E25" i="2"/>
  <c r="F25" i="2" s="1"/>
  <c r="H25" i="2" s="1" a="1"/>
  <c r="E26" i="2"/>
  <c r="F26" i="2" s="1"/>
  <c r="H26" i="2" s="1" a="1"/>
  <c r="E27" i="2"/>
  <c r="F27" i="2" s="1"/>
  <c r="H27" i="2" s="1" a="1"/>
  <c r="E28" i="2"/>
  <c r="F28" i="2" s="1"/>
  <c r="H28" i="2" s="1" a="1"/>
  <c r="E29" i="2"/>
  <c r="F29" i="2" s="1"/>
  <c r="H29" i="2" s="1" a="1"/>
  <c r="E30" i="2"/>
  <c r="F30" i="2" s="1"/>
  <c r="H30" i="2" s="1" a="1"/>
  <c r="E31" i="2"/>
  <c r="F31" i="2" s="1"/>
  <c r="H31" i="2" s="1" a="1"/>
  <c r="E32" i="2"/>
  <c r="F32" i="2" s="1"/>
  <c r="H32" i="2" s="1" a="1"/>
  <c r="E33" i="2"/>
  <c r="F33" i="2" s="1"/>
  <c r="H33" i="2" s="1" a="1"/>
  <c r="E34" i="2"/>
  <c r="F34" i="2" s="1"/>
  <c r="H34" i="2" s="1" a="1"/>
  <c r="E35" i="2"/>
  <c r="F35" i="2" s="1"/>
  <c r="H35" i="2" s="1" a="1"/>
  <c r="E36" i="2"/>
  <c r="F36" i="2" s="1"/>
  <c r="H36" i="2" s="1" a="1"/>
  <c r="E37" i="2"/>
  <c r="F37" i="2" s="1"/>
  <c r="H37" i="2" s="1" a="1"/>
  <c r="E38" i="2"/>
  <c r="F38" i="2" s="1"/>
  <c r="H38" i="2" s="1" a="1"/>
  <c r="E39" i="2"/>
  <c r="F39" i="2" s="1"/>
  <c r="H39" i="2" s="1" a="1"/>
  <c r="E40" i="2"/>
  <c r="F40" i="2" s="1"/>
  <c r="H40" i="2" s="1" a="1"/>
  <c r="E41" i="2"/>
  <c r="F41" i="2" s="1"/>
  <c r="H41" i="2" s="1" a="1"/>
  <c r="E42" i="2"/>
  <c r="F42" i="2" s="1"/>
  <c r="H42" i="2" s="1" a="1"/>
  <c r="E43" i="2"/>
  <c r="F43" i="2" s="1"/>
  <c r="H43" i="2" s="1" a="1"/>
  <c r="E44" i="2"/>
  <c r="F44" i="2" s="1"/>
  <c r="H44" i="2" s="1" a="1"/>
  <c r="E45" i="2"/>
  <c r="F45" i="2" s="1"/>
  <c r="H45" i="2" s="1" a="1"/>
  <c r="E46" i="2"/>
  <c r="F46" i="2" s="1"/>
  <c r="H46" i="2" s="1" a="1"/>
  <c r="E47" i="2"/>
  <c r="F47" i="2" s="1"/>
  <c r="H47" i="2" s="1" a="1"/>
  <c r="E48" i="2"/>
  <c r="F48" i="2" s="1"/>
  <c r="H48" i="2" s="1" a="1"/>
  <c r="E49" i="2"/>
  <c r="F49" i="2" s="1"/>
  <c r="H49" i="2" s="1" a="1"/>
  <c r="E50" i="2"/>
  <c r="F50" i="2" s="1"/>
  <c r="H50" i="2" s="1" a="1"/>
  <c r="E51" i="2"/>
  <c r="F51" i="2" s="1"/>
  <c r="H51" i="2" s="1" a="1"/>
  <c r="E52" i="2"/>
  <c r="F52" i="2" s="1"/>
  <c r="H52" i="2" s="1" a="1"/>
  <c r="E53" i="2"/>
  <c r="F53" i="2" s="1"/>
  <c r="H53" i="2" s="1" a="1"/>
  <c r="E54" i="2"/>
  <c r="F54" i="2" s="1"/>
  <c r="H54" i="2" s="1" a="1"/>
  <c r="E55" i="2"/>
  <c r="F55" i="2" s="1"/>
  <c r="H55" i="2" s="1" a="1"/>
  <c r="E56" i="2"/>
  <c r="F56" i="2" s="1"/>
  <c r="H56" i="2" s="1" a="1"/>
  <c r="E57" i="2"/>
  <c r="F57" i="2" s="1"/>
  <c r="H57" i="2" s="1" a="1"/>
  <c r="E58" i="2"/>
  <c r="F58" i="2" s="1"/>
  <c r="H58" i="2" s="1" a="1"/>
  <c r="E59" i="2"/>
  <c r="F59" i="2" s="1"/>
  <c r="H59" i="2" s="1" a="1"/>
  <c r="E60" i="2"/>
  <c r="F60" i="2" s="1"/>
  <c r="H60" i="2" s="1" a="1"/>
  <c r="E61" i="2"/>
  <c r="F61" i="2" s="1"/>
  <c r="H61" i="2" s="1" a="1"/>
  <c r="E62" i="2"/>
  <c r="F62" i="2" s="1"/>
  <c r="H62" i="2" s="1" a="1"/>
  <c r="E63" i="2"/>
  <c r="F63" i="2" s="1"/>
  <c r="H63" i="2" s="1" a="1"/>
  <c r="E64" i="2"/>
  <c r="F64" i="2" s="1"/>
  <c r="H64" i="2" s="1" a="1"/>
  <c r="E65" i="2"/>
  <c r="F65" i="2" s="1"/>
  <c r="H65" i="2" s="1" a="1"/>
  <c r="E66" i="2"/>
  <c r="F66" i="2" s="1"/>
  <c r="H66" i="2" s="1" a="1"/>
  <c r="E67" i="2"/>
  <c r="F67" i="2" s="1"/>
  <c r="H67" i="2" s="1" a="1"/>
  <c r="E68" i="2"/>
  <c r="F68" i="2" s="1"/>
  <c r="H68" i="2" s="1" a="1"/>
  <c r="E69" i="2"/>
  <c r="F69" i="2" s="1"/>
  <c r="H69" i="2" s="1" a="1"/>
  <c r="E70" i="2"/>
  <c r="F70" i="2" s="1"/>
  <c r="H70" i="2" s="1" a="1"/>
  <c r="E71" i="2"/>
  <c r="F71" i="2" s="1"/>
  <c r="H71" i="2" s="1" a="1"/>
  <c r="E72" i="2"/>
  <c r="F72" i="2" s="1"/>
  <c r="H72" i="2" s="1" a="1"/>
  <c r="E73" i="2"/>
  <c r="F73" i="2" s="1"/>
  <c r="H73" i="2" s="1" a="1"/>
  <c r="E74" i="2"/>
  <c r="F74" i="2" s="1"/>
  <c r="H74" i="2" s="1" a="1"/>
  <c r="E75" i="2"/>
  <c r="F75" i="2" s="1"/>
  <c r="H75" i="2" s="1" a="1"/>
  <c r="E76" i="2"/>
  <c r="F76" i="2" s="1"/>
  <c r="H76" i="2" s="1" a="1"/>
  <c r="E77" i="2"/>
  <c r="F77" i="2" s="1"/>
  <c r="H77" i="2" s="1" a="1"/>
  <c r="E78" i="2"/>
  <c r="F78" i="2" s="1"/>
  <c r="H78" i="2" s="1" a="1"/>
  <c r="E79" i="2"/>
  <c r="F79" i="2" s="1"/>
  <c r="H79" i="2" s="1" a="1"/>
  <c r="E80" i="2"/>
  <c r="F80" i="2" s="1"/>
  <c r="H80" i="2" s="1" a="1"/>
  <c r="E81" i="2"/>
  <c r="F81" i="2" s="1"/>
  <c r="H81" i="2" s="1" a="1"/>
  <c r="E82" i="2"/>
  <c r="F82" i="2" s="1"/>
  <c r="H82" i="2" s="1" a="1"/>
  <c r="E83" i="2"/>
  <c r="F83" i="2" s="1"/>
  <c r="H83" i="2" s="1" a="1"/>
  <c r="E84" i="2"/>
  <c r="F84" i="2" s="1"/>
  <c r="H84" i="2" s="1" a="1"/>
  <c r="E85" i="2"/>
  <c r="F85" i="2" s="1"/>
  <c r="H85" i="2" s="1" a="1"/>
  <c r="E86" i="2"/>
  <c r="F86" i="2" s="1"/>
  <c r="H86" i="2" s="1" a="1"/>
  <c r="E87" i="2"/>
  <c r="F87" i="2" s="1"/>
  <c r="H87" i="2" s="1" a="1"/>
  <c r="E88" i="2"/>
  <c r="F88" i="2" s="1"/>
  <c r="H88" i="2" s="1" a="1"/>
  <c r="E89" i="2"/>
  <c r="F89" i="2" s="1"/>
  <c r="H89" i="2" s="1" a="1"/>
  <c r="E90" i="2"/>
  <c r="F90" i="2" s="1"/>
  <c r="H90" i="2" s="1" a="1"/>
  <c r="E91" i="2"/>
  <c r="F91" i="2" s="1"/>
  <c r="H91" i="2" s="1" a="1"/>
  <c r="E92" i="2"/>
  <c r="F92" i="2" s="1"/>
  <c r="H92" i="2" s="1" a="1"/>
  <c r="E93" i="2"/>
  <c r="F93" i="2" s="1"/>
  <c r="H93" i="2" s="1" a="1"/>
  <c r="E94" i="2"/>
  <c r="F94" i="2" s="1"/>
  <c r="H94" i="2" s="1" a="1"/>
  <c r="E95" i="2"/>
  <c r="F95" i="2" s="1"/>
  <c r="H95" i="2" s="1" a="1"/>
  <c r="E96" i="2"/>
  <c r="F96" i="2" s="1"/>
  <c r="H96" i="2" s="1" a="1"/>
  <c r="E97" i="2"/>
  <c r="F97" i="2" s="1"/>
  <c r="H97" i="2" s="1" a="1"/>
  <c r="E98" i="2"/>
  <c r="F98" i="2" s="1"/>
  <c r="H98" i="2" s="1" a="1"/>
  <c r="E99" i="2"/>
  <c r="F99" i="2" s="1"/>
  <c r="H99" i="2" s="1" a="1"/>
  <c r="E100" i="2"/>
  <c r="F100" i="2" s="1"/>
  <c r="H100" i="2" s="1" a="1"/>
  <c r="E101" i="2"/>
  <c r="F101" i="2" s="1"/>
  <c r="H101" i="2" s="1" a="1"/>
  <c r="E102" i="2"/>
  <c r="F102" i="2" s="1"/>
  <c r="H102" i="2" s="1" a="1"/>
  <c r="E103" i="2"/>
  <c r="F103" i="2" s="1"/>
  <c r="H103" i="2" s="1" a="1"/>
  <c r="E104" i="2"/>
  <c r="F104" i="2" s="1"/>
  <c r="H104" i="2" s="1" a="1"/>
  <c r="E105" i="2"/>
  <c r="F105" i="2" s="1"/>
  <c r="H105" i="2" s="1" a="1"/>
  <c r="E106" i="2"/>
  <c r="F106" i="2" s="1"/>
  <c r="H106" i="2" s="1" a="1"/>
  <c r="E107" i="2"/>
  <c r="F107" i="2" s="1"/>
  <c r="H107" i="2" s="1" a="1"/>
  <c r="E108" i="2"/>
  <c r="F108" i="2" s="1"/>
  <c r="H108" i="2" s="1" a="1"/>
  <c r="E109" i="2"/>
  <c r="F109" i="2" s="1"/>
  <c r="H109" i="2" s="1" a="1"/>
  <c r="E110" i="2"/>
  <c r="F110" i="2" s="1"/>
  <c r="H110" i="2" s="1" a="1"/>
  <c r="A3" i="12" l="1"/>
  <c r="C3"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5A74EA-41E1-4690-8B64-AB6EAFD8C7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9FB9F28-40D7-471B-9DF8-3894D79E766B}" name="WorksheetConnection_Excel_jumia_dataset.xlsx!Table4" type="102" refreshedVersion="8" minRefreshableVersion="5">
    <extLst>
      <ext xmlns:x15="http://schemas.microsoft.com/office/spreadsheetml/2010/11/main" uri="{DE250136-89BD-433C-8126-D09CA5730AF9}">
        <x15:connection id="Table4">
          <x15:rangePr sourceName="_xlcn.WorksheetConnection_Excel_jumia_dataset.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<sst xmlns="http://schemas.openxmlformats.org/spreadsheetml/2006/main" count="869" uniqueCount="380">
  <si>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</si>
  <si>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</si>
  <si>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</si>
  <si>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</si>
  <si>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</si>
  <si>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</si>
  <si>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</si>
  <si>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</si>
  <si>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</si>
  <si>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</si>
  <si>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</si>
  <si>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</si>
  <si>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</si>
  <si>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</si>
  <si>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</si>
  <si>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</si>
  <si>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</si>
  <si>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</si>
  <si>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</si>
  <si>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</si>
  <si>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</si>
  <si>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</si>
  <si>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</si>
  <si>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</si>
  <si>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</si>
  <si>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</si>
  <si>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</si>
  <si>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</si>
  <si>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</si>
  <si>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</si>
  <si>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</si>
  <si>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</si>
  <si>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</si>
  <si>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</si>
  <si>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</si>
  <si>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</si>
  <si>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</si>
  <si>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</si>
  <si>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</si>
  <si>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</si>
  <si>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</si>
  <si>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</si>
  <si>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</si>
  <si>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</si>
  <si>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</si>
  <si>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</si>
  <si>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</si>
  <si>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</si>
  <si>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</si>
  <si>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</si>
  <si>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</si>
  <si>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</si>
  <si>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</si>
  <si>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</si>
  <si>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</si>
  <si>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</si>
  <si>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</si>
  <si>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</si>
  <si>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</si>
  <si>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</si>
  <si>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</si>
  <si>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</si>
  <si>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</si>
  <si>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</si>
  <si>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</si>
  <si>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</si>
  <si>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</si>
  <si>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</si>
  <si>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</si>
  <si>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</si>
  <si>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</si>
  <si>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</si>
  <si>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</si>
  <si>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</si>
  <si>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</si>
  <si>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</si>
  <si>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</si>
  <si>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</si>
  <si>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</si>
  <si>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</si>
  <si>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</si>
  <si>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</si>
  <si>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</si>
  <si>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</si>
  <si>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</si>
  <si>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</si>
  <si>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</si>
  <si>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</si>
  <si>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</si>
  <si>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</si>
  <si>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</si>
  <si>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</si>
  <si>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</si>
  <si>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</si>
  <si>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</si>
  <si>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</si>
  <si>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</si>
  <si>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</si>
  <si>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</si>
  <si>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</si>
  <si>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</si>
  <si>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</si>
  <si>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</si>
  <si>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</si>
  <si>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</si>
  <si>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</si>
  <si>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</si>
  <si>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</si>
  <si>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</si>
  <si>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</si>
  <si>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</si>
  <si>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</si>
  <si>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</si>
  <si>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</si>
  <si>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</si>
  <si>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</si>
  <si>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</si>
  <si>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</si>
  <si>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</si>
  <si>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</si>
  <si>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</si>
  <si>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</si>
  <si>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</si>
  <si>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</si>
  <si>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</si>
  <si>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</si>
  <si>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</si>
  <si>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</si>
  <si>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</si>
  <si>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</si>
  <si>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</si>
  <si>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</si>
  <si>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</si>
  <si>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</si>
  <si>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</si>
  <si>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</si>
  <si>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</si>
  <si>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</si>
  <si>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</si>
  <si>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</si>
  <si>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</si>
  <si>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</si>
  <si>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</si>
  <si>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</si>
  <si>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</si>
  <si>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</si>
  <si>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</si>
  <si>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</si>
  <si>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</si>
  <si>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</si>
  <si>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</si>
  <si>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</si>
  <si>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</si>
  <si>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</si>
  <si>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</si>
  <si>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</si>
  <si>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</si>
  <si>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</si>
  <si>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</si>
  <si>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</si>
  <si>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</si>
  <si>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</si>
  <si>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</si>
  <si>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</si>
  <si>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</si>
  <si>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</si>
  <si>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</si>
  <si>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</si>
  <si>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</si>
  <si>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</si>
  <si>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</si>
  <si>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</si>
  <si>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</si>
  <si>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</si>
  <si>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</si>
  <si>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</si>
  <si>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</si>
  <si>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</si>
  <si>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</si>
  <si>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</si>
  <si>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</si>
  <si>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</si>
  <si>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</si>
  <si>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</si>
  <si>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</si>
  <si>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</si>
  <si>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</si>
  <si>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</si>
  <si>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</si>
  <si>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</si>
  <si>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</si>
  <si>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</si>
  <si>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</si>
  <si>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</si>
  <si>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</si>
  <si>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</si>
  <si>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</si>
  <si>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</si>
  <si>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</si>
  <si>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</si>
  <si>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</si>
  <si>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</si>
  <si>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</si>
  <si>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</si>
  <si>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</si>
  <si>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</si>
  <si>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</si>
  <si>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</si>
  <si>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</si>
  <si>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</si>
  <si>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</si>
  <si>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</si>
  <si>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</si>
  <si>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</si>
  <si>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</si>
  <si>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</si>
  <si>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</si>
  <si>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</si>
  <si>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</si>
  <si>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</si>
  <si>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</si>
  <si>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</si>
  <si>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</si>
  <si>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</si>
  <si>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</si>
  <si>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</si>
  <si>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</si>
  <si>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</si>
  <si>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</si>
  <si>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</si>
  <si>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</si>
  <si>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</si>
  <si>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</si>
  <si>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</si>
  <si>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</si>
  <si>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</si>
  <si>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</si>
  <si>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</si>
  <si>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</si>
  <si>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</si>
  <si>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</si>
  <si>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</si>
  <si>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</si>
  <si>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</si>
  <si>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</si>
  <si>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</si>
  <si>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</si>
  <si>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</si>
  <si>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</si>
  <si>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</si>
  <si>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</si>
  <si>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</si>
  <si>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</si>
  <si>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</si>
  <si>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</si>
  <si>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</si>
  <si>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</si>
  <si>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</si>
  <si>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</si>
  <si>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</si>
  <si>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</si>
  <si>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</si>
  <si>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</si>
  <si>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</si>
  <si>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</si>
  <si>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</si>
  <si>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</si>
  <si>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</si>
  <si>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</si>
  <si>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</si>
  <si>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</si>
  <si>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</si>
  <si>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</si>
  <si>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</si>
  <si>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</si>
  <si>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</si>
  <si>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</si>
  <si>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</si>
  <si>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</si>
  <si>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</si>
  <si>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</si>
  <si>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</si>
  <si>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</si>
  <si>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</si>
  <si>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</si>
  <si>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</si>
  <si>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</si>
  <si>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</si>
  <si>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</si>
  <si>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</si>
  <si>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</si>
  <si>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</si>
  <si>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</si>
  <si>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</si>
  <si>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</si>
  <si>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</si>
  <si>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</si>
  <si>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</si>
  <si>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</si>
  <si>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</si>
  <si>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</si>
  <si>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</si>
  <si>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</si>
  <si>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</si>
  <si>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</si>
  <si>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</si>
  <si>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</si>
  <si>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</si>
  <si>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</si>
  <si>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</si>
  <si>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</si>
  <si>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</si>
  <si>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</si>
  <si>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</si>
  <si>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</si>
  <si>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</si>
  <si>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</si>
  <si>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</si>
  <si>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</si>
  <si>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</si>
  <si>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</si>
  <si>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</si>
  <si>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</si>
  <si>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product</t>
  </si>
  <si>
    <t>current_price</t>
  </si>
  <si>
    <t>old_price</t>
  </si>
  <si>
    <t>review</t>
  </si>
  <si>
    <t>rating</t>
  </si>
  <si>
    <t>MultiFunctional Storage Rack Multi-layer Booelf</t>
  </si>
  <si>
    <t>discount2</t>
  </si>
  <si>
    <t>discount_calc</t>
  </si>
  <si>
    <t>%discount_calc</t>
  </si>
  <si>
    <t>rating_category</t>
  </si>
  <si>
    <t>discount_category</t>
  </si>
  <si>
    <t>price_category</t>
  </si>
  <si>
    <t>Average of current_price</t>
  </si>
  <si>
    <t>Calculate descriptive statistics</t>
  </si>
  <si>
    <t>Average of old_price</t>
  </si>
  <si>
    <t>Average of %discount_calc</t>
  </si>
  <si>
    <t>Average of rating</t>
  </si>
  <si>
    <t>Count of product</t>
  </si>
  <si>
    <t>Total f products</t>
  </si>
  <si>
    <t>Sum of review</t>
  </si>
  <si>
    <t>Total  reviews</t>
  </si>
  <si>
    <t>Most Expensive Product</t>
  </si>
  <si>
    <t>Least Expensive Product</t>
  </si>
  <si>
    <t>current_prices</t>
  </si>
  <si>
    <t>current_pricee</t>
  </si>
  <si>
    <t>KPIs</t>
  </si>
  <si>
    <t>Total Products</t>
  </si>
  <si>
    <t>Average Price</t>
  </si>
  <si>
    <t>Average Discount</t>
  </si>
  <si>
    <t>Average Rating</t>
  </si>
  <si>
    <t>Total Reviews</t>
  </si>
  <si>
    <t>Average of discount_calc</t>
  </si>
  <si>
    <t>Row Labels</t>
  </si>
  <si>
    <t>Expensive</t>
  </si>
  <si>
    <t>Inexpensive</t>
  </si>
  <si>
    <t>Moderate</t>
  </si>
  <si>
    <t>Grand Total</t>
  </si>
  <si>
    <t>Average of review</t>
  </si>
  <si>
    <t>High</t>
  </si>
  <si>
    <t>Low</t>
  </si>
  <si>
    <t>Medium</t>
  </si>
  <si>
    <t>Sum of %discount_calc</t>
  </si>
  <si>
    <t>Sum of rating</t>
  </si>
  <si>
    <t>Does a higher discount percentage result in more customer reviews?</t>
  </si>
  <si>
    <t>Do highly rated products receive more reviews, and are expensive products rated higher than cheaper ones?</t>
  </si>
  <si>
    <t>NO</t>
  </si>
  <si>
    <t>%Rating</t>
  </si>
  <si>
    <t>Price_Category</t>
  </si>
  <si>
    <t>Which are the top 10 products by discount, by number of reviews and by rating, and the 5 lowest-rated</t>
  </si>
  <si>
    <t>Sum of discount_calc</t>
  </si>
  <si>
    <t>Top 10 Products By Discount</t>
  </si>
  <si>
    <t>Top 10 Products By Review</t>
  </si>
  <si>
    <t>Top 10 Products By Rating</t>
  </si>
  <si>
    <t>Bottom 5 Products By Rating</t>
  </si>
  <si>
    <t>Which products have high discounts but low ratings, and which have high discounts but little engagement?</t>
  </si>
  <si>
    <t>Which products show strong customer demand, and which receive many reviews but only average ratings?</t>
  </si>
  <si>
    <t>Discount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</si>
</sst>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sz val="8"/>
      <name val="Gill Sans MT"/>
      <family val="2"/>
      <scheme val="minor"/>
    </font>
    <font>
      <b/>
      <sz val="12"/>
      <color theme="1"/>
      <name val="Gill Sans MT"/>
      <family val="2"/>
      <scheme val="minor"/>
    </font>
    <font>
      <sz val="12"/>
      <color rgb="FF334155"/>
      <name val="Arial"/>
      <family val="2"/>
    </font>
    <font>
      <b/>
      <sz val="11"/>
      <color theme="1"/>
      <name val="Gill Sans MT"/>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4">
    <xf numFmtId="0" fontId="0" fillId="0" borderId="0" xfId="0"/>
    <xf numFmtId="9" fontId="0" fillId="0" borderId="0" xfId="0" applyNumberFormat="1"/>
    <xf numFmtId="3" fontId="0" fillId="0" borderId="0" xfId="0" applyNumberFormat="1"/>
    <xf numFmtId="9" fontId="0" fillId="0" borderId="0" xfId="42" applyFont="1"/>
    <xf numFmtId="164" fontId="0" fillId="0" borderId="0" xfId="42" applyNumberFormat="1" applyFont="1"/>
    <xf numFmtId="0" fontId="0" fillId="0" borderId="0" xfId="0" pivotButton="1"/>
    <xf numFmtId="0" fontId="0" fillId="0" borderId="0" xfId="0" applyAlignment="1">
      <alignment horizontal="left"/>
    </xf>
    <xf numFmtId="0" fontId="16" fillId="0" borderId="0" xfId="0" applyFont="1"/>
    <xf numFmtId="0" fontId="20" fillId="0" borderId="0" xfId="0" applyFont="1"/>
    <xf numFmtId="0" fontId="21" fillId="0" borderId="0" xfId="0" applyFont="1"/>
    <xf numFmtId="10" fontId="0" fillId="0" borderId="0" xfId="0" applyNumberFormat="1"/>
    <xf numFmtId="0" fontId="19" fillId="0" borderId="0" xfId="0" applyFont="1"/>
    <xf numFmtId="0" fontId="0" fillId="0" borderId="0" xfId="0"/>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13" formatCode="0%"/>
    </dxf>
    <dxf>
      <numFmt numFmtId="0" formatCode="General"/>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0.0%"/>
    </dxf>
    <dxf>
      <numFmt numFmtId="0" formatCode="General"/>
    </dxf>
    <dxf>
      <numFmt numFmtId="0" formatCode="General"/>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'Analyse trends and product perf'!$B$8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11B-468B-A91E-98032A98EF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11B-468B-A91E-98032A98EF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11B-468B-A91E-98032A98EF31}"/>
              </c:ext>
            </c:extLst>
          </c:dPt>
          <c:cat>
            <c:strRef>
              <c:f>'Analyse trends and product perf'!$A$9:$A$12</c:f>
              <c:strCache>
                <c:ptCount val="3"/>
                <c:pt idx="0">
                  <c:v>Expensive</c:v>
                </c:pt>
                <c:pt idx="1">
                  <c:v>Inexpensive</c:v>
                </c:pt>
                <c:pt idx="2">
                  <c:v>Moderate</c:v>
                </c:pt>
              </c:strCache>
            </c:strRef>
          </c:cat>
          <c:val>
            <c:numRef>
              <c:f>'Analyse trends and product perf'!$B$9:$B$12</c:f>
              <c:numCache>
                <c:formatCode>0.00%</c:formatCode>
                <c:ptCount val="3"/>
                <c:pt idx="0">
                  <c:v>1.0187979390433386</c:v>
                </c:pt>
                <c:pt idx="1">
                  <c:v>0.96775143696298094</c:v>
                </c:pt>
                <c:pt idx="2">
                  <c:v>1.0038930546088016</c:v>
                </c:pt>
              </c:numCache>
            </c:numRef>
          </c:val>
          <c:extLst>
            <c:ext xmlns:c16="http://schemas.microsoft.com/office/drawing/2014/chart" uri="{C3380CC4-5D6E-409C-BE32-E72D297353CC}">
              <c16:uniqueId val="{00000000-D5E2-4341-9D6E-B106CE7970B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 trends and product perf'!$B$52</c:f>
              <c:strCache>
                <c:ptCount val="1"/>
                <c:pt idx="0">
                  <c:v>Total</c:v>
                </c:pt>
              </c:strCache>
            </c:strRef>
          </c:tx>
          <c:spPr>
            <a:solidFill>
              <a:schemeClr val="accent1"/>
            </a:solidFill>
            <a:ln>
              <a:noFill/>
            </a:ln>
            <a:effectLst/>
          </c:spPr>
          <c:invertIfNegative val="0"/>
          <c:cat>
            <c:strRef>
              <c:f>'Analyse trends and product perf'!$A$53:$A$63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'Analyse trends and product perf'!$B$53:$B$63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BED0-4841-B20F-BF97B32B3342}"/>
            </c:ext>
          </c:extLst>
        </c:ser>
        <c:dLbls>
          <c:showLegendKey val="0"/>
          <c:showVal val="0"/>
          <c:showCatName val="0"/>
          <c:showSerName val="0"/>
          <c:showPercent val="0"/>
          <c:showBubbleSize val="0"/>
        </c:dLbls>
        <c:gapWidth val="182"/>
        <c:axId val="1075933215"/>
        <c:axId val="1796302735"/>
      </c:barChart>
      <c:catAx>
        <c:axId val="107593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6302735"/>
        <c:crosses val="autoZero"/>
        <c:auto val="1"/>
        <c:lblAlgn val="ctr"/>
        <c:lblOffset val="100"/>
        <c:noMultiLvlLbl val="0"/>
      </c:catAx>
      <c:valAx>
        <c:axId val="179630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59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 trends and product perf'!$B$65</c:f>
              <c:strCache>
                <c:ptCount val="1"/>
                <c:pt idx="0">
                  <c:v>Total</c:v>
                </c:pt>
              </c:strCache>
            </c:strRef>
          </c:tx>
          <c:spPr>
            <a:solidFill>
              <a:schemeClr val="accent1"/>
            </a:solidFill>
            <a:ln>
              <a:noFill/>
            </a:ln>
            <a:effectLst/>
          </c:spPr>
          <c:invertIfNegative val="0"/>
          <c:cat>
            <c:strRef>
              <c:f>'Analyse trends and product perf'!$A$66:$A$71</c:f>
              <c:strCache>
                <c:ptCount val="5"/>
                <c:pt idx="0">
                  <c:v>7-piece Set Of Storage Bags, Travel Storage Bags, Shoe Bags</c:v>
                </c:pt>
                <c:pt idx="1">
                  <c:v>Artificial Potted Flowers Room Decorative Flowers (2 Pieces)</c:v>
                </c:pt>
                <c:pt idx="2">
                  <c:v>5-PCS Stainless Steel Cooking Pot Set With Steamed Slices</c:v>
                </c:pt>
                <c:pt idx="3">
                  <c:v>Electric LED UV Mosquito Killer Lamp, Outdoor/Indoor Fly Killer Trap Light -USB</c:v>
                </c:pt>
                <c:pt idx="4">
                  <c:v>Wall-mounted Sticker Punch-free Plug Fixer</c:v>
                </c:pt>
              </c:strCache>
            </c:strRef>
          </c:cat>
          <c:val>
            <c:numRef>
              <c:f>'Analyse trends and product perf'!$B$66:$B$71</c:f>
              <c:numCache>
                <c:formatCode>General</c:formatCode>
                <c:ptCount val="5"/>
                <c:pt idx="0">
                  <c:v>2.2000000000000002</c:v>
                </c:pt>
                <c:pt idx="1">
                  <c:v>2.2000000000000002</c:v>
                </c:pt>
                <c:pt idx="2">
                  <c:v>2.1</c:v>
                </c:pt>
                <c:pt idx="3">
                  <c:v>2.1</c:v>
                </c:pt>
                <c:pt idx="4">
                  <c:v>2</c:v>
                </c:pt>
              </c:numCache>
            </c:numRef>
          </c:val>
          <c:extLst>
            <c:ext xmlns:c16="http://schemas.microsoft.com/office/drawing/2014/chart" uri="{C3380CC4-5D6E-409C-BE32-E72D297353CC}">
              <c16:uniqueId val="{00000000-63AD-4B94-92C6-D4471B533A1D}"/>
            </c:ext>
          </c:extLst>
        </c:ser>
        <c:dLbls>
          <c:showLegendKey val="0"/>
          <c:showVal val="0"/>
          <c:showCatName val="0"/>
          <c:showSerName val="0"/>
          <c:showPercent val="0"/>
          <c:showBubbleSize val="0"/>
        </c:dLbls>
        <c:gapWidth val="182"/>
        <c:axId val="995196143"/>
        <c:axId val="1796439055"/>
      </c:barChart>
      <c:catAx>
        <c:axId val="99519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6439055"/>
        <c:crosses val="autoZero"/>
        <c:auto val="1"/>
        <c:lblAlgn val="ctr"/>
        <c:lblOffset val="100"/>
        <c:noMultiLvlLbl val="0"/>
      </c:catAx>
      <c:valAx>
        <c:axId val="1796439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519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'Analyse trends and product perf'!$B$39</c:f>
              <c:strCache>
                <c:ptCount val="1"/>
                <c:pt idx="0">
                  <c:v>Total</c:v>
                </c:pt>
              </c:strCache>
            </c:strRef>
          </c:tx>
          <c:spPr>
            <a:solidFill>
              <a:schemeClr val="accent1"/>
            </a:solidFill>
            <a:ln>
              <a:noFill/>
            </a:ln>
            <a:effectLst/>
            <a:sp3d/>
          </c:spPr>
          <c:invertIfNegative val="0"/>
          <c:cat>
            <c:strRef>
              <c:f>'Analyse trends and product perf'!$A$40:$A$50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'Analyse trends and product perf'!$B$40:$B$50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38A-4C33-946B-3711E860A14A}"/>
            </c:ext>
          </c:extLst>
        </c:ser>
        <c:dLbls>
          <c:showLegendKey val="0"/>
          <c:showVal val="0"/>
          <c:showCatName val="0"/>
          <c:showSerName val="0"/>
          <c:showPercent val="0"/>
          <c:showBubbleSize val="0"/>
        </c:dLbls>
        <c:gapWidth val="150"/>
        <c:shape val="box"/>
        <c:axId val="1909521839"/>
        <c:axId val="889927151"/>
        <c:axId val="0"/>
      </c:bar3DChart>
      <c:catAx>
        <c:axId val="190952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9927151"/>
        <c:crosses val="autoZero"/>
        <c:auto val="1"/>
        <c:lblAlgn val="ctr"/>
        <c:lblOffset val="100"/>
        <c:noMultiLvlLbl val="0"/>
      </c:catAx>
      <c:valAx>
        <c:axId val="88992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0952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Category Vs Avg.Rating and Avg.Reviews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'Additional Pivot Tables'!$B$2</c:f>
              <c:strCache>
                <c:ptCount val="1"/>
                <c:pt idx="0">
                  <c:v>Average of rating</c:v>
                </c:pt>
              </c:strCache>
            </c:strRef>
          </c:tx>
          <c:spPr>
            <a:solidFill>
              <a:schemeClr val="accent1"/>
            </a:solidFill>
            <a:ln>
              <a:noFill/>
            </a:ln>
            <a:effectLst/>
          </c:spPr>
          <c:invertIfNegative val="0"/>
          <c:cat>
            <c:strRef>
              <c:f>'Additional Pivot Tables'!$A$3:$A$6</c:f>
              <c:strCache>
                <c:ptCount val="3"/>
                <c:pt idx="0">
                  <c:v>Expensive</c:v>
                </c:pt>
                <c:pt idx="1">
                  <c:v>Inexpensive</c:v>
                </c:pt>
                <c:pt idx="2">
                  <c:v>Moderate</c:v>
                </c:pt>
              </c:strCache>
            </c:strRef>
          </c:cat>
          <c:val>
            <c:numRef>
              <c:f>'Additional Pivot Tables'!$B$3:$B$6</c:f>
              <c:numCache>
                <c:formatCode>General</c:formatCode>
                <c:ptCount val="3"/>
                <c:pt idx="0">
                  <c:v>4.1135135135135128</c:v>
                </c:pt>
                <c:pt idx="1">
                  <c:v>3.9074074074074083</c:v>
                </c:pt>
                <c:pt idx="2">
                  <c:v>4.0533333333333319</c:v>
                </c:pt>
              </c:numCache>
            </c:numRef>
          </c:val>
          <c:extLst>
            <c:ext xmlns:c16="http://schemas.microsoft.com/office/drawing/2014/chart" uri="{C3380CC4-5D6E-409C-BE32-E72D297353CC}">
              <c16:uniqueId val="{00000000-490A-4FEA-825F-201026B588D9}"/>
            </c:ext>
          </c:extLst>
        </c:ser>
        <c:dLbls>
          <c:showLegendKey val="0"/>
          <c:showVal val="0"/>
          <c:showCatName val="0"/>
          <c:showSerName val="0"/>
          <c:showPercent val="0"/>
          <c:showBubbleSize val="0"/>
        </c:dLbls>
        <c:gapWidth val="219"/>
        <c:overlap val="-27"/>
        <c:axId val="995251823"/>
        <c:axId val="1797525071"/>
      </c:barChart>
      <c:lineChart>
        <c:grouping val="standard"/>
        <c:varyColors val="0"/>
        <c:ser>
          <c:idx val="1"/>
          <c:order val="1"/>
          <c:tx>
            <c:strRef>
              <c:f>'Additional Pivot Tables'!$C$2</c:f>
              <c:strCache>
                <c:ptCount val="1"/>
                <c:pt idx="0">
                  <c:v>Average of review</c:v>
                </c:pt>
              </c:strCache>
            </c:strRef>
          </c:tx>
          <c:spPr>
            <a:ln w="28575" cap="rnd">
              <a:solidFill>
                <a:schemeClr val="accent2"/>
              </a:solidFill>
              <a:round/>
            </a:ln>
            <a:effectLst/>
          </c:spPr>
          <c:marker>
            <c:symbol val="none"/>
          </c:marker>
          <c:cat>
            <c:strRef>
              <c:f>'Additional Pivot Tables'!$A$3:$A$6</c:f>
              <c:strCache>
                <c:ptCount val="3"/>
                <c:pt idx="0">
                  <c:v>Expensive</c:v>
                </c:pt>
                <c:pt idx="1">
                  <c:v>Inexpensive</c:v>
                </c:pt>
                <c:pt idx="2">
                  <c:v>Moderate</c:v>
                </c:pt>
              </c:strCache>
            </c:strRef>
          </c:cat>
          <c:val>
            <c:numRef>
              <c:f>'Additional Pivot Tables'!$C$3:$C$6</c:f>
              <c:numCache>
                <c:formatCode>General</c:formatCode>
                <c:ptCount val="3"/>
                <c:pt idx="0">
                  <c:v>10.081081081081081</c:v>
                </c:pt>
                <c:pt idx="1">
                  <c:v>11.962962962962964</c:v>
                </c:pt>
                <c:pt idx="2">
                  <c:v>8.6888888888888882</c:v>
                </c:pt>
              </c:numCache>
            </c:numRef>
          </c:val>
          <c:smooth val="0"/>
          <c:extLst>
            <c:ext xmlns:c16="http://schemas.microsoft.com/office/drawing/2014/chart" uri="{C3380CC4-5D6E-409C-BE32-E72D297353CC}">
              <c16:uniqueId val="{00000001-490A-4FEA-825F-201026B588D9}"/>
            </c:ext>
          </c:extLst>
        </c:ser>
        <c:dLbls>
          <c:showLegendKey val="0"/>
          <c:showVal val="0"/>
          <c:showCatName val="0"/>
          <c:showSerName val="0"/>
          <c:showPercent val="0"/>
          <c:showBubbleSize val="0"/>
        </c:dLbls>
        <c:marker val="1"/>
        <c:smooth val="0"/>
        <c:axId val="995251823"/>
        <c:axId val="1797525071"/>
      </c:lineChart>
      <c:catAx>
        <c:axId val="9952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525071"/>
        <c:crosses val="autoZero"/>
        <c:auto val="1"/>
        <c:lblAlgn val="ctr"/>
        <c:lblOffset val="100"/>
        <c:noMultiLvlLbl val="0"/>
      </c:catAx>
      <c:valAx>
        <c:axId val="179752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525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Vs %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'Additional Pivot Tables'!$B$21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'Additional Pivot Tables'!$A$22:$A$32</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'Additional Pivot Tables'!$B$22:$B$32</c:f>
              <c:numCache>
                <c:formatCode>General</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smooth val="0"/>
          <c:extLst>
            <c:ext xmlns:c16="http://schemas.microsoft.com/office/drawing/2014/chart" uri="{C3380CC4-5D6E-409C-BE32-E72D297353CC}">
              <c16:uniqueId val="{00000000-8515-45C8-8639-EF915B71919D}"/>
            </c:ext>
          </c:extLst>
        </c:ser>
        <c:dLbls>
          <c:showLegendKey val="0"/>
          <c:showVal val="0"/>
          <c:showCatName val="0"/>
          <c:showSerName val="0"/>
          <c:showPercent val="0"/>
          <c:showBubbleSize val="0"/>
        </c:dLbls>
        <c:marker val="1"/>
        <c:smooth val="0"/>
        <c:axId val="1009149791"/>
        <c:axId val="1797332111"/>
      </c:lineChart>
      <c:catAx>
        <c:axId val="100914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332111"/>
        <c:crosses val="autoZero"/>
        <c:auto val="1"/>
        <c:lblAlgn val="ctr"/>
        <c:lblOffset val="100"/>
        <c:noMultiLvlLbl val="0"/>
      </c:catAx>
      <c:valAx>
        <c:axId val="179733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0914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Tables!PivotTable24</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Discount Category Vs.</a:t>
            </a:r>
            <a:r>
              <a:rPr lang="en-US" baseline="0"/>
              <a:t> Avg.Reviews </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ofPieChart>
        <c:ofPieType val="pie"/>
        <c:varyColors val="1"/>
        <c:ser>
          <c:idx val="0"/>
          <c:order val="0"/>
          <c:tx>
            <c:strRef>
              <c:f>'Additional 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DB-498A-BD03-4A3C41380A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DB-498A-BD03-4A3C41380A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DB-498A-BD03-4A3C41380A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DB-498A-BD03-4A3C41380AC4}"/>
              </c:ext>
            </c:extLst>
          </c:dPt>
          <c:cat>
            <c:strRef>
              <c:f>'Additional Pivot Tables'!$A$37:$A$40</c:f>
              <c:strCache>
                <c:ptCount val="3"/>
                <c:pt idx="0">
                  <c:v>Low</c:v>
                </c:pt>
                <c:pt idx="1">
                  <c:v>High</c:v>
                </c:pt>
                <c:pt idx="2">
                  <c:v>Medium</c:v>
                </c:pt>
              </c:strCache>
            </c:strRef>
          </c:cat>
          <c:val>
            <c:numRef>
              <c:f>'Additional Pivot Tables'!$B$37:$B$40</c:f>
              <c:numCache>
                <c:formatCode>General</c:formatCode>
                <c:ptCount val="3"/>
                <c:pt idx="0">
                  <c:v>7.5555555555555554</c:v>
                </c:pt>
                <c:pt idx="1">
                  <c:v>9.101694915254237</c:v>
                </c:pt>
                <c:pt idx="2">
                  <c:v>12.9375</c:v>
                </c:pt>
              </c:numCache>
            </c:numRef>
          </c:val>
          <c:extLst>
            <c:ext xmlns:c16="http://schemas.microsoft.com/office/drawing/2014/chart" uri="{C3380CC4-5D6E-409C-BE32-E72D297353CC}">
              <c16:uniqueId val="{00000000-E603-49AC-9B92-92BD2141EA29}"/>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'Analyse trends and product perf'!$B$52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'Analyse trends and product perf'!$A$53:$A$63</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'Analyse trends and product perf'!$B$53:$B$63</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C842-43DF-9796-6C9DBC5246E1}"/>
            </c:ext>
          </c:extLst>
        </c:ser>
        <c:dLbls>
          <c:dLblPos val="outEnd"/>
          <c:showLegendKey val="0"/>
          <c:showVal val="1"/>
          <c:showCatName val="0"/>
          <c:showSerName val="0"/>
          <c:showPercent val="0"/>
          <c:showBubbleSize val="0"/>
        </c:dLbls>
        <c:gapWidth val="182"/>
        <c:axId val="1075933215"/>
        <c:axId val="1796302735"/>
      </c:barChart>
      <c:catAx>
        <c:axId val="1075933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6302735"/>
        <c:crosses val="autoZero"/>
        <c:auto val="1"/>
        <c:lblAlgn val="ctr"/>
        <c:lblOffset val="100"/>
        <c:noMultiLvlLbl val="0"/>
      </c:catAx>
      <c:valAx>
        <c:axId val="1796302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7593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Category Vs Avg.Rating and Avg.Reviews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'Additional Pivot Tables'!$B$2</c:f>
              <c:strCache>
                <c:ptCount val="1"/>
                <c:pt idx="0">
                  <c:v>Average of rating</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Pivot Tables'!$A$3:$A$6</c:f>
              <c:strCache>
                <c:ptCount val="3"/>
                <c:pt idx="0">
                  <c:v>Expensive</c:v>
                </c:pt>
                <c:pt idx="1">
                  <c:v>Inexpensive</c:v>
                </c:pt>
                <c:pt idx="2">
                  <c:v>Moderate</c:v>
                </c:pt>
              </c:strCache>
            </c:strRef>
          </c:cat>
          <c:val>
            <c:numRef>
              <c:f>'Additional Pivot Tables'!$B$3:$B$6</c:f>
              <c:numCache>
                <c:formatCode>General</c:formatCode>
                <c:ptCount val="3"/>
                <c:pt idx="0">
                  <c:v>4.1135135135135128</c:v>
                </c:pt>
                <c:pt idx="1">
                  <c:v>3.9074074074074083</c:v>
                </c:pt>
                <c:pt idx="2">
                  <c:v>4.0533333333333319</c:v>
                </c:pt>
              </c:numCache>
            </c:numRef>
          </c:val>
          <c:extLst>
            <c:ext xmlns:c16="http://schemas.microsoft.com/office/drawing/2014/chart" uri="{C3380CC4-5D6E-409C-BE32-E72D297353CC}">
              <c16:uniqueId val="{00000000-50A4-4AF1-BB8B-97EC17718D7D}"/>
            </c:ext>
          </c:extLst>
        </c:ser>
        <c:dLbls>
          <c:showLegendKey val="0"/>
          <c:showVal val="1"/>
          <c:showCatName val="0"/>
          <c:showSerName val="0"/>
          <c:showPercent val="0"/>
          <c:showBubbleSize val="0"/>
        </c:dLbls>
        <c:gapWidth val="219"/>
        <c:overlap val="-27"/>
        <c:axId val="995251823"/>
        <c:axId val="1797525071"/>
      </c:barChart>
      <c:lineChart>
        <c:grouping val="standard"/>
        <c:varyColors val="0"/>
        <c:ser>
          <c:idx val="1"/>
          <c:order val="1"/>
          <c:tx>
            <c:strRef>
              <c:f>'Additional Pivot Tables'!$C$2</c:f>
              <c:strCache>
                <c:ptCount val="1"/>
                <c:pt idx="0">
                  <c:v>Average of review</c:v>
                </c:pt>
              </c:strCache>
            </c:strRef>
          </c:tx>
          <c:spPr>
            <a:ln w="28575" cap="rnd">
              <a:solidFill>
                <a:schemeClr val="accent2"/>
              </a:solidFill>
              <a:round/>
            </a:ln>
            <a:effectLst/>
          </c:spPr>
          <c:marker>
            <c:symbol val="none"/>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Pivot Tables'!$A$3:$A$6</c:f>
              <c:strCache>
                <c:ptCount val="3"/>
                <c:pt idx="0">
                  <c:v>Expensive</c:v>
                </c:pt>
                <c:pt idx="1">
                  <c:v>Inexpensive</c:v>
                </c:pt>
                <c:pt idx="2">
                  <c:v>Moderate</c:v>
                </c:pt>
              </c:strCache>
            </c:strRef>
          </c:cat>
          <c:val>
            <c:numRef>
              <c:f>'Additional Pivot Tables'!$C$3:$C$6</c:f>
              <c:numCache>
                <c:formatCode>General</c:formatCode>
                <c:ptCount val="3"/>
                <c:pt idx="0">
                  <c:v>10.081081081081081</c:v>
                </c:pt>
                <c:pt idx="1">
                  <c:v>11.962962962962964</c:v>
                </c:pt>
                <c:pt idx="2">
                  <c:v>8.6888888888888882</c:v>
                </c:pt>
              </c:numCache>
            </c:numRef>
          </c:val>
          <c:smooth val="0"/>
          <c:extLst>
            <c:ext xmlns:c16="http://schemas.microsoft.com/office/drawing/2014/chart" uri="{C3380CC4-5D6E-409C-BE32-E72D297353CC}">
              <c16:uniqueId val="{00000001-50A4-4AF1-BB8B-97EC17718D7D}"/>
            </c:ext>
          </c:extLst>
        </c:ser>
        <c:dLbls>
          <c:showLegendKey val="0"/>
          <c:showVal val="1"/>
          <c:showCatName val="0"/>
          <c:showSerName val="0"/>
          <c:showPercent val="0"/>
          <c:showBubbleSize val="0"/>
        </c:dLbls>
        <c:marker val="1"/>
        <c:smooth val="0"/>
        <c:axId val="995251823"/>
        <c:axId val="1797525071"/>
      </c:lineChart>
      <c:catAx>
        <c:axId val="99525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525071"/>
        <c:crosses val="autoZero"/>
        <c:auto val="1"/>
        <c:lblAlgn val="ctr"/>
        <c:lblOffset val="100"/>
        <c:noMultiLvlLbl val="0"/>
      </c:catAx>
      <c:valAx>
        <c:axId val="17975250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525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t>
            </a:r>
          </a:p>
          <a:p>
            <a:pPr>
              <a:defRPr/>
            </a:pPr>
            <a:r>
              <a:rPr lang="en-US"/>
              <a:t>Products</a:t>
            </a:r>
            <a:r>
              <a:rPr lang="en-US" baseline="0"/>
              <a:t> Vs %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'Additional Pivot Tables'!$B$21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Pivot Tables'!$A$22:$A$32</c:f>
              <c:strCache>
                <c:ptCount val="10"/>
                <c:pt idx="0">
                  <c:v>6 In 1 Bottle Can Opener Multifunctional Easy Opener</c:v>
                </c:pt>
                <c:pt idx="1">
                  <c:v>Creative Owl Shape Keychain Black</c:v>
                </c:pt>
                <c:pt idx="2">
                  <c:v>5-PCS Stainless Steel Cooking Pot Set With Steamed Slices</c:v>
                </c:pt>
                <c:pt idx="3">
                  <c:v>LASA FOLDING TABLE SERVING STAND</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Intelligent  LED Body Sensor Wireless Lighting Night Light USB</c:v>
                </c:pt>
                <c:pt idx="9">
                  <c:v>Exfoliate And Exfoliate Face Towel - Black</c:v>
                </c:pt>
              </c:strCache>
            </c:strRef>
          </c:cat>
          <c:val>
            <c:numRef>
              <c:f>'Additional Pivot Tables'!$B$22:$B$32</c:f>
              <c:numCache>
                <c:formatCode>General</c:formatCode>
                <c:ptCount val="10"/>
                <c:pt idx="0">
                  <c:v>0.64014466546112114</c:v>
                </c:pt>
                <c:pt idx="1">
                  <c:v>0.60515873015873012</c:v>
                </c:pt>
                <c:pt idx="2">
                  <c:v>0.55000000000000004</c:v>
                </c:pt>
                <c:pt idx="3">
                  <c:v>0.54500000000000004</c:v>
                </c:pt>
                <c:pt idx="4">
                  <c:v>0.54488888888888887</c:v>
                </c:pt>
                <c:pt idx="5">
                  <c:v>0.53549695740365111</c:v>
                </c:pt>
                <c:pt idx="6">
                  <c:v>0.52500000000000002</c:v>
                </c:pt>
                <c:pt idx="7">
                  <c:v>0.52500000000000002</c:v>
                </c:pt>
                <c:pt idx="8">
                  <c:v>0.5220588235294118</c:v>
                </c:pt>
                <c:pt idx="9">
                  <c:v>0.51570680628272247</c:v>
                </c:pt>
              </c:numCache>
            </c:numRef>
          </c:val>
          <c:smooth val="0"/>
          <c:extLst>
            <c:ext xmlns:c16="http://schemas.microsoft.com/office/drawing/2014/chart" uri="{C3380CC4-5D6E-409C-BE32-E72D297353CC}">
              <c16:uniqueId val="{00000000-ECD4-4155-BF22-AB59EC49BC80}"/>
            </c:ext>
          </c:extLst>
        </c:ser>
        <c:dLbls>
          <c:dLblPos val="t"/>
          <c:showLegendKey val="0"/>
          <c:showVal val="1"/>
          <c:showCatName val="0"/>
          <c:showSerName val="0"/>
          <c:showPercent val="0"/>
          <c:showBubbleSize val="0"/>
        </c:dLbls>
        <c:marker val="1"/>
        <c:smooth val="0"/>
        <c:axId val="1009149791"/>
        <c:axId val="1797332111"/>
      </c:lineChart>
      <c:catAx>
        <c:axId val="100914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97332111"/>
        <c:crosses val="autoZero"/>
        <c:auto val="1"/>
        <c:lblAlgn val="ctr"/>
        <c:lblOffset val="100"/>
        <c:noMultiLvlLbl val="0"/>
      </c:catAx>
      <c:valAx>
        <c:axId val="1797332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0914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[Excel_jumia_dataset.xlsx]Additional Pivot Tables!PivotTable24</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Discount Category Vs.</a:t>
            </a:r>
            <a:r>
              <a:rPr lang="en-US" baseline="0"/>
              <a:t> Avg.Reviews </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ofPieChart>
        <c:ofPieType val="pie"/>
        <c:varyColors val="1"/>
        <c:ser>
          <c:idx val="0"/>
          <c:order val="0"/>
          <c:tx>
            <c:strRef>
              <c:f>'Additional Pivot Tables'!$B$36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8A-40B1-BD4E-837800F9B7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8A-40B1-BD4E-837800F9B7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8A-40B1-BD4E-837800F9B7C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8A-40B1-BD4E-837800F9B7C0}"/>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KE"/>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'Additional Pivot Tables'!$A$37:$A$40</c:f>
              <c:strCache>
                <c:ptCount val="3"/>
                <c:pt idx="0">
                  <c:v>Low</c:v>
                </c:pt>
                <c:pt idx="1">
                  <c:v>High</c:v>
                </c:pt>
                <c:pt idx="2">
                  <c:v>Medium</c:v>
                </c:pt>
              </c:strCache>
            </c:strRef>
          </c:cat>
          <c:val>
            <c:numRef>
              <c:f>'Additional Pivot Tables'!$B$37:$B$40</c:f>
              <c:numCache>
                <c:formatCode>General</c:formatCode>
                <c:ptCount val="3"/>
                <c:pt idx="0">
                  <c:v>7.5555555555555554</c:v>
                </c:pt>
                <c:pt idx="1">
                  <c:v>9.101694915254237</c:v>
                </c:pt>
                <c:pt idx="2">
                  <c:v>12.9375</c:v>
                </c:pt>
              </c:numCache>
            </c:numRef>
          </c:val>
          <c:extLst>
            <c:ext xmlns:c16="http://schemas.microsoft.com/office/drawing/2014/chart" uri="{C3380CC4-5D6E-409C-BE32-E72D297353CC}">
              <c16:uniqueId val="{00000008-BC8A-40B1-BD4E-837800F9B7C0}"/>
            </c:ext>
          </c:extLst>
        </c:ser>
        <c:dLbls>
          <c:dLblPos val="bestFit"/>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[Excel_jumia_dataset.xlsx]Analyse trends and product perf!PivotTable15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70332125439339"/>
          <c:y val="0.16736738739066392"/>
          <c:w val="0.77679617469961582"/>
          <c:h val="0.41550653743339822"/>
        </c:manualLayout>
      </c:layout>
      <c:bar3DChart>
        <c:barDir val="col"/>
        <c:grouping val="clustered"/>
        <c:varyColors val="0"/>
        <c:ser>
          <c:idx val="0"/>
          <c:order val="0"/>
          <c:tx>
            <c:strRef>
              <c:f>'Analyse trends and product perf'!$B$39</c:f>
              <c:strCache>
                <c:ptCount val="1"/>
                <c:pt idx="0">
                  <c:v>Total</c:v>
                </c:pt>
              </c:strCache>
            </c:strRef>
          </c:tx>
          <c:spPr>
            <a:solidFill>
              <a:schemeClr val="accent1"/>
            </a:solidFill>
            <a:ln>
              <a:noFill/>
            </a:ln>
            <a:effectLst/>
            <a:sp3d/>
          </c:spPr>
          <c:invertIfNegative val="0"/>
          <c:cat>
            <c:strRef>
              <c:f>'Analyse trends and product perf'!$A$40:$A$50</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'Analyse trends and product perf'!$B$40:$B$50</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71EE-406D-B544-F44482BC8245}"/>
            </c:ext>
          </c:extLst>
        </c:ser>
        <c:dLbls>
          <c:showLegendKey val="0"/>
          <c:showVal val="0"/>
          <c:showCatName val="0"/>
          <c:showSerName val="0"/>
          <c:showPercent val="0"/>
          <c:showBubbleSize val="0"/>
        </c:dLbls>
        <c:gapWidth val="150"/>
        <c:shape val="box"/>
        <c:axId val="1909521839"/>
        <c:axId val="889927151"/>
        <c:axId val="0"/>
      </c:bar3DChart>
      <c:catAx>
        <c:axId val="190952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89927151"/>
        <c:crosses val="autoZero"/>
        <c:auto val="1"/>
        <c:lblAlgn val="ctr"/>
        <c:lblOffset val="100"/>
        <c:noMultiLvlLbl val="0"/>
      </c:catAx>
      <c:valAx>
        <c:axId val="889927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09521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47625</xdr:colOff>
      <xdr:row>6</xdr:row>
      <xdr:rowOff>82550</xdr:rowOff>
    </xdr:from>
    <xdr:to>
      <xdr:col>11</xdr:col>
      <xdr:colOff>149225</xdr:colOff>
      <xdr:row>21</xdr:row>
      <xdr:rowOff>63500</xdr:rowOff>
    </xdr:to>
    <xdr:graphicFrame macro="">
      <xdr:nvGraphicFramePr>
        <xdr:cNvPr id="2" name="Chart 1">
          <a:extLst>
            <a:ext uri="{FF2B5EF4-FFF2-40B4-BE49-F238E27FC236}">
              <a16:creationId xmlns:a16="http://schemas.microsoft.com/office/drawing/2014/main" id="{95E9E13B-8EDC-EE75-57BA-09B904E64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51</xdr:row>
      <xdr:rowOff>0</xdr:rowOff>
    </xdr:from>
    <xdr:to>
      <xdr:col>11</xdr:col>
      <xdr:colOff>111125</xdr:colOff>
      <xdr:row>65</xdr:row>
      <xdr:rowOff>165100</xdr:rowOff>
    </xdr:to>
    <xdr:graphicFrame macro="">
      <xdr:nvGraphicFramePr>
        <xdr:cNvPr id="3" name="Chart 2">
          <a:extLst>
            <a:ext uri="{FF2B5EF4-FFF2-40B4-BE49-F238E27FC236}">
              <a16:creationId xmlns:a16="http://schemas.microsoft.com/office/drawing/2014/main" id="{7B91BBAE-066C-5E1E-A490-36F2BD777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552450</xdr:colOff>
      <xdr:row>66</xdr:row>
      <xdr:rowOff>171450</xdr:rowOff>
    </xdr:from>
    <xdr:to>
      <xdr:col>11</xdr:col>
      <xdr:colOff>95250</xdr:colOff>
      <xdr:row>81</xdr:row>
      <xdr:rowOff>152400</xdr:rowOff>
    </xdr:to>
    <xdr:graphicFrame macro="">
      <xdr:nvGraphicFramePr>
        <xdr:cNvPr id="4" name="Chart 3">
          <a:extLst>
            <a:ext uri="{FF2B5EF4-FFF2-40B4-BE49-F238E27FC236}">
              <a16:creationId xmlns:a16="http://schemas.microsoft.com/office/drawing/2014/main" id="{DB3B5490-C69E-4056-0171-0B63A6606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228600</xdr:colOff>
      <xdr:row>38</xdr:row>
      <xdr:rowOff>0</xdr:rowOff>
    </xdr:from>
    <xdr:to>
      <xdr:col>8</xdr:col>
      <xdr:colOff>406400</xdr:colOff>
      <xdr:row>51</xdr:row>
      <xdr:rowOff>19050</xdr:rowOff>
    </xdr:to>
    <xdr:graphicFrame macro="">
      <xdr:nvGraphicFramePr>
        <xdr:cNvPr id="5" name="Chart 4">
          <a:extLst>
            <a:ext uri="{FF2B5EF4-FFF2-40B4-BE49-F238E27FC236}">
              <a16:creationId xmlns:a16="http://schemas.microsoft.com/office/drawing/2014/main" id="{4D35FFF3-8999-F203-6551-A26826023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530225</xdr:colOff>
      <xdr:row>1</xdr:row>
      <xdr:rowOff>0</xdr:rowOff>
    </xdr:from>
    <xdr:to>
      <xdr:col>12</xdr:col>
      <xdr:colOff>73025</xdr:colOff>
      <xdr:row>15</xdr:row>
      <xdr:rowOff>165100</xdr:rowOff>
    </xdr:to>
    <xdr:graphicFrame macro="">
      <xdr:nvGraphicFramePr>
        <xdr:cNvPr id="2" name="Chart 1">
          <a:extLst>
            <a:ext uri="{FF2B5EF4-FFF2-40B4-BE49-F238E27FC236}">
              <a16:creationId xmlns:a16="http://schemas.microsoft.com/office/drawing/2014/main" id="{75AFBA17-0B6B-6F46-DEA9-E222CA54C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244475</xdr:colOff>
      <xdr:row>20</xdr:row>
      <xdr:rowOff>12700</xdr:rowOff>
    </xdr:from>
    <xdr:to>
      <xdr:col>9</xdr:col>
      <xdr:colOff>346075</xdr:colOff>
      <xdr:row>34</xdr:row>
      <xdr:rowOff>177800</xdr:rowOff>
    </xdr:to>
    <xdr:graphicFrame macro="">
      <xdr:nvGraphicFramePr>
        <xdr:cNvPr id="3" name="Chart 2">
          <a:extLst>
            <a:ext uri="{FF2B5EF4-FFF2-40B4-BE49-F238E27FC236}">
              <a16:creationId xmlns:a16="http://schemas.microsoft.com/office/drawing/2014/main" id="{C47A590B-7115-E321-1E49-B95732F6B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276225</xdr:colOff>
      <xdr:row>37</xdr:row>
      <xdr:rowOff>88900</xdr:rowOff>
    </xdr:from>
    <xdr:to>
      <xdr:col>9</xdr:col>
      <xdr:colOff>377825</xdr:colOff>
      <xdr:row>52</xdr:row>
      <xdr:rowOff>69850</xdr:rowOff>
    </xdr:to>
    <xdr:graphicFrame macro="">
      <xdr:nvGraphicFramePr>
        <xdr:cNvPr id="4" name="Chart 3">
          <a:extLst>
            <a:ext uri="{FF2B5EF4-FFF2-40B4-BE49-F238E27FC236}">
              <a16:creationId xmlns:a16="http://schemas.microsoft.com/office/drawing/2014/main" id="{7A5C2DFA-69E2-9A31-AF38-D1970C99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25400</xdr:colOff>
      <xdr:row>1</xdr:row>
      <xdr:rowOff>171450</xdr:rowOff>
    </xdr:from>
    <xdr:to>
      <xdr:col>8</xdr:col>
      <xdr:colOff>133350</xdr:colOff>
      <xdr:row>12</xdr:row>
      <xdr:rowOff>127000</xdr:rowOff>
    </xdr:to>
    <mc:AlternateContent xmlns:mc="http://schemas.openxmlformats.org/markup-compatibility/2006" xmlns:a14="http://schemas.microsoft.com/office/drawing/2010/main">
      <mc:Choice Requires="a14">
        <xdr:graphicFrame macro="">
          <xdr:nvGraphicFramePr>
            <xdr:cNvPr id="2" name="price_category">
              <a:extLst>
                <a:ext uri="{FF2B5EF4-FFF2-40B4-BE49-F238E27FC236}">
                  <a16:creationId xmlns:a16="http://schemas.microsoft.com/office/drawing/2014/main" id="{D3C73020-893D-96B2-563A-4EA485C0728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mlns="">
        <xdr:sp macro="" textlink="">
          <xdr:nvSpPr>
            <xdr:cNvPr id="0" name=""/>
            <xdr:cNvSpPr>
              <a:spLocks noTextEdit="1"/>
            </xdr:cNvSpPr>
          </xdr:nvSpPr>
          <xdr:spPr>
            <a:xfrm>
              <a:off x="3467100" y="381000"/>
              <a:ext cx="1936750" cy="22606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387350</xdr:colOff>
      <xdr:row>2</xdr:row>
      <xdr:rowOff>31750</xdr:rowOff>
    </xdr:from>
    <xdr:to>
      <xdr:col>14</xdr:col>
      <xdr:colOff>387350</xdr:colOff>
      <xdr:row>13</xdr:row>
      <xdr:rowOff>60322</xdr:rowOff>
    </xdr:to>
    <mc:AlternateContent xmlns:mc="http://schemas.openxmlformats.org/markup-compatibility/2006" xmlns:a14="http://schemas.microsoft.com/office/drawing/2010/main">
      <mc:Choice Requires="a14">
        <xdr:graphicFrame macro="">
          <xdr:nvGraphicFramePr>
            <xdr:cNvPr id="3" name="discount_category">
              <a:extLst>
                <a:ext uri="{FF2B5EF4-FFF2-40B4-BE49-F238E27FC236}">
                  <a16:creationId xmlns:a16="http://schemas.microsoft.com/office/drawing/2014/main" id="{BFB3097F-C29B-C36C-5147-4954833B9CFD}"/>
                </a:ext>
              </a:extLst>
            </xdr:cNvPr>
            <xdr:cNvGraphicFramePr/>
          </xdr:nvGraphicFramePr>
          <xdr:xfrm>
            <a:off x="0" y="0"/>
            <a:ext cx="0" cy="0"/>
          </xdr:xfrm>
          <a:graphic>
            <a:graphicData uri="http://schemas.microsoft.com/office/drawing/2010/slicer">
              <sle:slicer xmlns:sle="http://schemas.microsoft.com/office/drawing/2010/slicer" name="discount_category"/>
            </a:graphicData>
          </a:graphic>
        </xdr:graphicFrame>
      </mc:Choice>
      <mc:Fallback xmlns="">
        <xdr:sp macro="" textlink="">
          <xdr:nvSpPr>
            <xdr:cNvPr id="0" name=""/>
            <xdr:cNvSpPr>
              <a:spLocks noTextEdit="1"/>
            </xdr:cNvSpPr>
          </xdr:nvSpPr>
          <xdr:spPr>
            <a:xfrm>
              <a:off x="7486650" y="450850"/>
              <a:ext cx="1828800" cy="2333622"/>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203200</xdr:colOff>
      <xdr:row>1</xdr:row>
      <xdr:rowOff>203200</xdr:rowOff>
    </xdr:from>
    <xdr:to>
      <xdr:col>11</xdr:col>
      <xdr:colOff>203200</xdr:colOff>
      <xdr:row>14</xdr:row>
      <xdr:rowOff>142869</xdr:rowOff>
    </xdr:to>
    <mc:AlternateContent xmlns:mc="http://schemas.openxmlformats.org/markup-compatibility/2006">
      <mc:Choice xmlns:a14="http://schemas.microsoft.com/office/drawing/2010/main" Requires="a14">
        <xdr:graphicFrame macro="">
          <xdr:nvGraphicFramePr>
            <xdr:cNvPr id="4" name="rating_category">
              <a:extLst>
                <a:ext uri="{FF2B5EF4-FFF2-40B4-BE49-F238E27FC236}">
                  <a16:creationId xmlns:a16="http://schemas.microsoft.com/office/drawing/2014/main" id="{856BB492-00DD-5176-5279-4549B9CB4673}"/>
                </a:ext>
              </a:extLst>
            </xdr:cNvPr>
            <xdr:cNvGraphicFramePr/>
          </xdr:nvGraphicFramePr>
          <xdr:xfrm>
            <a:off x="0" y="0"/>
            <a:ext cx="0" cy="0"/>
          </xdr:xfrm>
          <a:graphic>
            <a:graphicData uri="http://schemas.microsoft.com/office/drawing/2010/slicer">
              <sle:slicer xmlns:sle="http://schemas.microsoft.com/office/drawing/2010/slicer" name="rating_category"/>
            </a:graphicData>
          </a:graphic>
        </xdr:graphicFrame>
      </mc:Choice>
      <mc:Fallback>
        <xdr:sp macro="" textlink="">
          <xdr:nvSpPr>
            <xdr:cNvPr id="0" name=""/>
            <xdr:cNvSpPr>
              <a:spLocks noTextEdit="1"/>
            </xdr:cNvSpPr>
          </xdr:nvSpPr>
          <xdr:spPr>
            <a:xfrm>
              <a:off x="5429250" y="412750"/>
              <a:ext cx="1828800" cy="266381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xdr:colOff>
      <xdr:row>0</xdr:row>
      <xdr:rowOff>19050</xdr:rowOff>
    </xdr:from>
    <xdr:to>
      <xdr:col>21</xdr:col>
      <xdr:colOff>12700</xdr:colOff>
      <xdr:row>30</xdr:row>
      <xdr:rowOff>38100</xdr:rowOff>
    </xdr:to>
    <xdr:sp macro="" textlink="">
      <xdr:nvSpPr>
        <xdr:cNvPr id="2" name="Rectangle: Rounded Corners 1">
          <a:extLst>
            <a:ext uri="{FF2B5EF4-FFF2-40B4-BE49-F238E27FC236}">
              <a16:creationId xmlns:a16="http://schemas.microsoft.com/office/drawing/2014/main" id="{AEFCD101-7567-D84D-0395-6B61AF8F81ED}"/>
            </a:ext>
          </a:extLst>
        </xdr:cNvPr>
        <xdr:cNvSpPr/>
      </xdr:nvSpPr>
      <xdr:spPr>
        <a:xfrm>
          <a:off x="6350" y="19050"/>
          <a:ext cx="12807950" cy="6305550"/>
        </a:xfrm>
        <a:prstGeom prst="roundRect">
          <a:avLst>
            <a:gd name="adj" fmla="val 1687"/>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0</xdr:colOff>
      <xdr:row>0</xdr:row>
      <xdr:rowOff>0</xdr:rowOff>
    </xdr:from>
    <xdr:to>
      <xdr:col>21</xdr:col>
      <xdr:colOff>0</xdr:colOff>
      <xdr:row>30</xdr:row>
      <xdr:rowOff>38100</xdr:rowOff>
    </xdr:to>
    <xdr:sp macro="" textlink="">
      <xdr:nvSpPr>
        <xdr:cNvPr id="5" name="Rectangle: Rounded Corners 4">
          <a:extLst>
            <a:ext uri="{FF2B5EF4-FFF2-40B4-BE49-F238E27FC236}">
              <a16:creationId xmlns:a16="http://schemas.microsoft.com/office/drawing/2014/main" id="{DD49F9A6-2DAE-C5A5-5406-AD30DCFCFF92}"/>
            </a:ext>
          </a:extLst>
        </xdr:cNvPr>
        <xdr:cNvSpPr/>
      </xdr:nvSpPr>
      <xdr:spPr>
        <a:xfrm>
          <a:off x="0" y="0"/>
          <a:ext cx="12801600" cy="6324600"/>
        </a:xfrm>
        <a:prstGeom prst="roundRect">
          <a:avLst>
            <a:gd name="adj" fmla="val 2714"/>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133350</xdr:colOff>
      <xdr:row>0</xdr:row>
      <xdr:rowOff>69850</xdr:rowOff>
    </xdr:from>
    <xdr:to>
      <xdr:col>10</xdr:col>
      <xdr:colOff>603250</xdr:colOff>
      <xdr:row>2</xdr:row>
      <xdr:rowOff>19050</xdr:rowOff>
    </xdr:to>
    <xdr:sp macro="" textlink="">
      <xdr:nvSpPr>
        <xdr:cNvPr id="6" name="TextBox 5">
          <a:extLst>
            <a:ext uri="{FF2B5EF4-FFF2-40B4-BE49-F238E27FC236}">
              <a16:creationId xmlns:a16="http://schemas.microsoft.com/office/drawing/2014/main" id="{7A227268-F88E-7101-2164-11BEBE3A41FE}"/>
            </a:ext>
          </a:extLst>
        </xdr:cNvPr>
        <xdr:cNvSpPr txBox="1"/>
      </xdr:nvSpPr>
      <xdr:spPr>
        <a:xfrm>
          <a:off x="1962150" y="69850"/>
          <a:ext cx="473710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KE" sz="2000" b="1">
              <a:solidFill>
                <a:schemeClr val="dk1"/>
              </a:solidFill>
              <a:effectLst/>
              <a:latin typeface="+mn-lt"/>
              <a:ea typeface="+mn-ea"/>
              <a:cs typeface="+mn-cs"/>
            </a:rPr>
            <a:t>Jumia Product Performance </a:t>
          </a:r>
          <a:r>
            <a:rPr lang="en-US" sz="2000" b="1">
              <a:solidFill>
                <a:schemeClr val="dk1"/>
              </a:solidFill>
              <a:effectLst/>
              <a:latin typeface="+mn-lt"/>
              <a:ea typeface="+mn-ea"/>
              <a:cs typeface="+mn-cs"/>
            </a:rPr>
            <a:t>Analysis</a:t>
          </a:r>
          <a:endParaRPr lang="en-KE" sz="2000">
            <a:solidFill>
              <a:schemeClr val="dk1"/>
            </a:solidFill>
            <a:effectLst/>
            <a:latin typeface="+mn-lt"/>
            <a:ea typeface="+mn-ea"/>
            <a:cs typeface="+mn-cs"/>
          </a:endParaRPr>
        </a:p>
        <a:p>
          <a:endParaRPr lang="en-KE" sz="2000"/>
        </a:p>
      </xdr:txBody>
    </xdr:sp>
    <xdr:clientData/>
  </xdr:twoCellAnchor>
  <xdr:twoCellAnchor>
    <xdr:from>
      <xdr:col>3</xdr:col>
      <xdr:colOff>31750</xdr:colOff>
      <xdr:row>8</xdr:row>
      <xdr:rowOff>38100</xdr:rowOff>
    </xdr:from>
    <xdr:to>
      <xdr:col>8</xdr:col>
      <xdr:colOff>152400</xdr:colOff>
      <xdr:row>30</xdr:row>
      <xdr:rowOff>19050</xdr:rowOff>
    </xdr:to>
    <xdr:sp macro="" textlink="">
      <xdr:nvSpPr>
        <xdr:cNvPr id="7" name="Rectangle: Rounded Corners 6">
          <a:extLst>
            <a:ext uri="{FF2B5EF4-FFF2-40B4-BE49-F238E27FC236}">
              <a16:creationId xmlns:a16="http://schemas.microsoft.com/office/drawing/2014/main" id="{A1764AC8-9C98-E837-B624-194ADC2463E9}"/>
            </a:ext>
          </a:extLst>
        </xdr:cNvPr>
        <xdr:cNvSpPr/>
      </xdr:nvSpPr>
      <xdr:spPr>
        <a:xfrm>
          <a:off x="1860550" y="1714500"/>
          <a:ext cx="3168650" cy="45910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292100</xdr:colOff>
      <xdr:row>16</xdr:row>
      <xdr:rowOff>107950</xdr:rowOff>
    </xdr:from>
    <xdr:to>
      <xdr:col>14</xdr:col>
      <xdr:colOff>387350</xdr:colOff>
      <xdr:row>30</xdr:row>
      <xdr:rowOff>44450</xdr:rowOff>
    </xdr:to>
    <xdr:sp macro="" textlink="">
      <xdr:nvSpPr>
        <xdr:cNvPr id="11" name="Rectangle: Rounded Corners 10">
          <a:extLst>
            <a:ext uri="{FF2B5EF4-FFF2-40B4-BE49-F238E27FC236}">
              <a16:creationId xmlns:a16="http://schemas.microsoft.com/office/drawing/2014/main" id="{44249856-8C68-4708-B0A5-88070A4EB1B7}"/>
            </a:ext>
          </a:extLst>
        </xdr:cNvPr>
        <xdr:cNvSpPr/>
      </xdr:nvSpPr>
      <xdr:spPr>
        <a:xfrm>
          <a:off x="5168900" y="3460750"/>
          <a:ext cx="3752850" cy="28702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50800</xdr:colOff>
      <xdr:row>2</xdr:row>
      <xdr:rowOff>95250</xdr:rowOff>
    </xdr:from>
    <xdr:to>
      <xdr:col>8</xdr:col>
      <xdr:colOff>165100</xdr:colOff>
      <xdr:row>7</xdr:row>
      <xdr:rowOff>95250</xdr:rowOff>
    </xdr:to>
    <xdr:sp macro="" textlink="">
      <xdr:nvSpPr>
        <xdr:cNvPr id="14" name="Rectangle: Rounded Corners 13">
          <a:extLst>
            <a:ext uri="{FF2B5EF4-FFF2-40B4-BE49-F238E27FC236}">
              <a16:creationId xmlns:a16="http://schemas.microsoft.com/office/drawing/2014/main" id="{FF049E37-9CB4-4F97-8825-8B7F16AC83EC}"/>
            </a:ext>
          </a:extLst>
        </xdr:cNvPr>
        <xdr:cNvSpPr/>
      </xdr:nvSpPr>
      <xdr:spPr>
        <a:xfrm>
          <a:off x="1879600" y="514350"/>
          <a:ext cx="3162300" cy="10477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8</xdr:col>
      <xdr:colOff>241300</xdr:colOff>
      <xdr:row>3</xdr:row>
      <xdr:rowOff>152400</xdr:rowOff>
    </xdr:from>
    <xdr:to>
      <xdr:col>12</xdr:col>
      <xdr:colOff>450850</xdr:colOff>
      <xdr:row>15</xdr:row>
      <xdr:rowOff>158750</xdr:rowOff>
    </xdr:to>
    <xdr:sp macro="" textlink="">
      <xdr:nvSpPr>
        <xdr:cNvPr id="15" name="Rectangle: Rounded Corners 14">
          <a:extLst>
            <a:ext uri="{FF2B5EF4-FFF2-40B4-BE49-F238E27FC236}">
              <a16:creationId xmlns:a16="http://schemas.microsoft.com/office/drawing/2014/main" id="{2B9493C1-2908-4C17-9319-78DD53367D6A}"/>
            </a:ext>
          </a:extLst>
        </xdr:cNvPr>
        <xdr:cNvSpPr/>
      </xdr:nvSpPr>
      <xdr:spPr>
        <a:xfrm>
          <a:off x="5118100" y="781050"/>
          <a:ext cx="2647950" cy="25209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520700</xdr:colOff>
      <xdr:row>3</xdr:row>
      <xdr:rowOff>114300</xdr:rowOff>
    </xdr:from>
    <xdr:to>
      <xdr:col>20</xdr:col>
      <xdr:colOff>381000</xdr:colOff>
      <xdr:row>16</xdr:row>
      <xdr:rowOff>0</xdr:rowOff>
    </xdr:to>
    <xdr:sp macro="" textlink="">
      <xdr:nvSpPr>
        <xdr:cNvPr id="16" name="Rectangle: Rounded Corners 15">
          <a:extLst>
            <a:ext uri="{FF2B5EF4-FFF2-40B4-BE49-F238E27FC236}">
              <a16:creationId xmlns:a16="http://schemas.microsoft.com/office/drawing/2014/main" id="{505893A0-0F29-43F7-9F81-3CD922F54CE9}"/>
            </a:ext>
          </a:extLst>
        </xdr:cNvPr>
        <xdr:cNvSpPr/>
      </xdr:nvSpPr>
      <xdr:spPr>
        <a:xfrm>
          <a:off x="7835900" y="742950"/>
          <a:ext cx="4737100" cy="26098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488950</xdr:colOff>
      <xdr:row>16</xdr:row>
      <xdr:rowOff>95250</xdr:rowOff>
    </xdr:from>
    <xdr:to>
      <xdr:col>20</xdr:col>
      <xdr:colOff>400050</xdr:colOff>
      <xdr:row>30</xdr:row>
      <xdr:rowOff>19050</xdr:rowOff>
    </xdr:to>
    <xdr:sp macro="" textlink="">
      <xdr:nvSpPr>
        <xdr:cNvPr id="17" name="Rectangle: Rounded Corners 16">
          <a:extLst>
            <a:ext uri="{FF2B5EF4-FFF2-40B4-BE49-F238E27FC236}">
              <a16:creationId xmlns:a16="http://schemas.microsoft.com/office/drawing/2014/main" id="{DA5D2305-3689-437B-8747-2AF8194C98E8}"/>
            </a:ext>
          </a:extLst>
        </xdr:cNvPr>
        <xdr:cNvSpPr/>
      </xdr:nvSpPr>
      <xdr:spPr>
        <a:xfrm>
          <a:off x="8312150" y="3041650"/>
          <a:ext cx="3263900" cy="25019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590550</xdr:colOff>
      <xdr:row>0</xdr:row>
      <xdr:rowOff>31750</xdr:rowOff>
    </xdr:from>
    <xdr:to>
      <xdr:col>12</xdr:col>
      <xdr:colOff>546100</xdr:colOff>
      <xdr:row>3</xdr:row>
      <xdr:rowOff>107950</xdr:rowOff>
    </xdr:to>
    <xdr:sp macro="" textlink="">
      <xdr:nvSpPr>
        <xdr:cNvPr id="18" name="Rectangle: Rounded Corners 17">
          <a:extLst>
            <a:ext uri="{FF2B5EF4-FFF2-40B4-BE49-F238E27FC236}">
              <a16:creationId xmlns:a16="http://schemas.microsoft.com/office/drawing/2014/main" id="{2BCC50B2-5EC7-4AB8-9DED-DD48F40F17CA}"/>
            </a:ext>
          </a:extLst>
        </xdr:cNvPr>
        <xdr:cNvSpPr/>
      </xdr:nvSpPr>
      <xdr:spPr>
        <a:xfrm>
          <a:off x="6686550" y="31750"/>
          <a:ext cx="1174750" cy="7048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11</xdr:col>
      <xdr:colOff>6350</xdr:colOff>
      <xdr:row>0</xdr:row>
      <xdr:rowOff>63500</xdr:rowOff>
    </xdr:from>
    <xdr:to>
      <xdr:col>12</xdr:col>
      <xdr:colOff>520700</xdr:colOff>
      <xdr:row>1</xdr:row>
      <xdr:rowOff>114300</xdr:rowOff>
    </xdr:to>
    <xdr:sp macro="" textlink="">
      <xdr:nvSpPr>
        <xdr:cNvPr id="23" name="TextBox 22">
          <a:extLst>
            <a:ext uri="{FF2B5EF4-FFF2-40B4-BE49-F238E27FC236}">
              <a16:creationId xmlns:a16="http://schemas.microsoft.com/office/drawing/2014/main" id="{CBCF114F-D555-1A5C-7C26-A6EC123E3805}"/>
            </a:ext>
          </a:extLst>
        </xdr:cNvPr>
        <xdr:cNvSpPr txBox="1"/>
      </xdr:nvSpPr>
      <xdr:spPr>
        <a:xfrm>
          <a:off x="6711950" y="63500"/>
          <a:ext cx="1123950" cy="2603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KE" sz="1100" b="0" i="0" u="none" strike="noStrike">
              <a:solidFill>
                <a:schemeClr val="dk1"/>
              </a:solidFill>
              <a:effectLst/>
              <a:latin typeface="+mn-lt"/>
              <a:ea typeface="+mn-ea"/>
              <a:cs typeface="+mn-cs"/>
            </a:rPr>
            <a:t>Total Products</a:t>
          </a:r>
          <a:r>
            <a:rPr lang="en-KE">
              <a:effectLst/>
            </a:rPr>
            <a:t> </a:t>
          </a:r>
          <a:endParaRPr lang="en-KE" sz="1100"/>
        </a:p>
      </xdr:txBody>
    </xdr:sp>
    <xdr:clientData/>
  </xdr:twoCellAnchor>
  <xdr:twoCellAnchor>
    <xdr:from>
      <xdr:col>11</xdr:col>
      <xdr:colOff>12700</xdr:colOff>
      <xdr:row>1</xdr:row>
      <xdr:rowOff>152400</xdr:rowOff>
    </xdr:from>
    <xdr:to>
      <xdr:col>12</xdr:col>
      <xdr:colOff>527050</xdr:colOff>
      <xdr:row>3</xdr:row>
      <xdr:rowOff>31750</xdr:rowOff>
    </xdr:to>
    <xdr:sp macro="" textlink="KPIs!C3">
      <xdr:nvSpPr>
        <xdr:cNvPr id="24" name="TextBox 23">
          <a:extLst>
            <a:ext uri="{FF2B5EF4-FFF2-40B4-BE49-F238E27FC236}">
              <a16:creationId xmlns:a16="http://schemas.microsoft.com/office/drawing/2014/main" id="{C5FCDB0E-E5B2-7541-AE80-D83BBACB059D}"/>
            </a:ext>
          </a:extLst>
        </xdr:cNvPr>
        <xdr:cNvSpPr txBox="1"/>
      </xdr:nvSpPr>
      <xdr:spPr>
        <a:xfrm>
          <a:off x="6718300" y="361950"/>
          <a:ext cx="1123950" cy="2984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6D4DB7-168E-4C01-ACC7-5C3911C49AFF}" type="TxLink">
            <a:rPr lang="en-US" sz="1100" b="0" i="0" u="none" strike="noStrike">
              <a:solidFill>
                <a:srgbClr val="000000"/>
              </a:solidFill>
              <a:latin typeface="Garamond"/>
            </a:rPr>
            <a:pPr/>
            <a:t>109</a:t>
          </a:fld>
          <a:endParaRPr lang="en-KE" sz="1100"/>
        </a:p>
      </xdr:txBody>
    </xdr:sp>
    <xdr:clientData/>
  </xdr:twoCellAnchor>
  <xdr:twoCellAnchor>
    <xdr:from>
      <xdr:col>12</xdr:col>
      <xdr:colOff>552450</xdr:colOff>
      <xdr:row>0</xdr:row>
      <xdr:rowOff>44450</xdr:rowOff>
    </xdr:from>
    <xdr:to>
      <xdr:col>14</xdr:col>
      <xdr:colOff>463550</xdr:colOff>
      <xdr:row>3</xdr:row>
      <xdr:rowOff>82550</xdr:rowOff>
    </xdr:to>
    <xdr:sp macro="" textlink="">
      <xdr:nvSpPr>
        <xdr:cNvPr id="25" name="Rectangle: Rounded Corners 24">
          <a:extLst>
            <a:ext uri="{FF2B5EF4-FFF2-40B4-BE49-F238E27FC236}">
              <a16:creationId xmlns:a16="http://schemas.microsoft.com/office/drawing/2014/main" id="{1E1FE55C-DEBC-4BC4-95C5-3D0ACB1E8D85}"/>
            </a:ext>
          </a:extLst>
        </xdr:cNvPr>
        <xdr:cNvSpPr/>
      </xdr:nvSpPr>
      <xdr:spPr>
        <a:xfrm>
          <a:off x="7867650" y="44450"/>
          <a:ext cx="1130300" cy="6667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603250</xdr:colOff>
      <xdr:row>0</xdr:row>
      <xdr:rowOff>69850</xdr:rowOff>
    </xdr:from>
    <xdr:to>
      <xdr:col>14</xdr:col>
      <xdr:colOff>450850</xdr:colOff>
      <xdr:row>1</xdr:row>
      <xdr:rowOff>152400</xdr:rowOff>
    </xdr:to>
    <xdr:sp macro="" textlink="">
      <xdr:nvSpPr>
        <xdr:cNvPr id="26" name="TextBox 25">
          <a:extLst>
            <a:ext uri="{FF2B5EF4-FFF2-40B4-BE49-F238E27FC236}">
              <a16:creationId xmlns:a16="http://schemas.microsoft.com/office/drawing/2014/main" id="{E9236C14-961F-45BA-84E2-C89BEFE71B2B}"/>
            </a:ext>
          </a:extLst>
        </xdr:cNvPr>
        <xdr:cNvSpPr txBox="1"/>
      </xdr:nvSpPr>
      <xdr:spPr>
        <a:xfrm>
          <a:off x="7918450" y="69850"/>
          <a:ext cx="1066800" cy="2921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Price</a:t>
          </a:r>
          <a:endParaRPr lang="en-KE" sz="1100"/>
        </a:p>
      </xdr:txBody>
    </xdr:sp>
    <xdr:clientData/>
  </xdr:twoCellAnchor>
  <xdr:twoCellAnchor>
    <xdr:from>
      <xdr:col>12</xdr:col>
      <xdr:colOff>584200</xdr:colOff>
      <xdr:row>1</xdr:row>
      <xdr:rowOff>184150</xdr:rowOff>
    </xdr:from>
    <xdr:to>
      <xdr:col>14</xdr:col>
      <xdr:colOff>469900</xdr:colOff>
      <xdr:row>3</xdr:row>
      <xdr:rowOff>63500</xdr:rowOff>
    </xdr:to>
    <xdr:sp macro="" textlink="KPIs!C5">
      <xdr:nvSpPr>
        <xdr:cNvPr id="27" name="TextBox 26">
          <a:extLst>
            <a:ext uri="{FF2B5EF4-FFF2-40B4-BE49-F238E27FC236}">
              <a16:creationId xmlns:a16="http://schemas.microsoft.com/office/drawing/2014/main" id="{790F8915-A07B-4E36-AA91-4ABA1F4631C9}"/>
            </a:ext>
          </a:extLst>
        </xdr:cNvPr>
        <xdr:cNvSpPr txBox="1"/>
      </xdr:nvSpPr>
      <xdr:spPr>
        <a:xfrm>
          <a:off x="7899400" y="393700"/>
          <a:ext cx="1104900" cy="2984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DF1C42-7D5E-461A-9F87-D6A6069E2CB3}" type="TxLink">
            <a:rPr lang="en-US" sz="1100" b="0" i="0" u="none" strike="noStrike">
              <a:solidFill>
                <a:srgbClr val="000000"/>
              </a:solidFill>
              <a:latin typeface="Garamond"/>
            </a:rPr>
            <a:pPr/>
            <a:t>1208.256881</a:t>
          </a:fld>
          <a:endParaRPr lang="en-KE" sz="1100"/>
        </a:p>
      </xdr:txBody>
    </xdr:sp>
    <xdr:clientData/>
  </xdr:twoCellAnchor>
  <xdr:twoCellAnchor>
    <xdr:from>
      <xdr:col>14</xdr:col>
      <xdr:colOff>469900</xdr:colOff>
      <xdr:row>0</xdr:row>
      <xdr:rowOff>12700</xdr:rowOff>
    </xdr:from>
    <xdr:to>
      <xdr:col>16</xdr:col>
      <xdr:colOff>520700</xdr:colOff>
      <xdr:row>3</xdr:row>
      <xdr:rowOff>88900</xdr:rowOff>
    </xdr:to>
    <xdr:sp macro="" textlink="">
      <xdr:nvSpPr>
        <xdr:cNvPr id="28" name="Rectangle: Rounded Corners 27">
          <a:extLst>
            <a:ext uri="{FF2B5EF4-FFF2-40B4-BE49-F238E27FC236}">
              <a16:creationId xmlns:a16="http://schemas.microsoft.com/office/drawing/2014/main" id="{8F65ED3A-7A64-489E-A72F-AAA95EA5D196}"/>
            </a:ext>
          </a:extLst>
        </xdr:cNvPr>
        <xdr:cNvSpPr/>
      </xdr:nvSpPr>
      <xdr:spPr>
        <a:xfrm>
          <a:off x="9004300" y="12700"/>
          <a:ext cx="1270000" cy="7048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14</xdr:col>
      <xdr:colOff>501650</xdr:colOff>
      <xdr:row>0</xdr:row>
      <xdr:rowOff>44450</xdr:rowOff>
    </xdr:from>
    <xdr:to>
      <xdr:col>16</xdr:col>
      <xdr:colOff>482600</xdr:colOff>
      <xdr:row>1</xdr:row>
      <xdr:rowOff>190500</xdr:rowOff>
    </xdr:to>
    <xdr:sp macro="" textlink="">
      <xdr:nvSpPr>
        <xdr:cNvPr id="29" name="TextBox 28">
          <a:extLst>
            <a:ext uri="{FF2B5EF4-FFF2-40B4-BE49-F238E27FC236}">
              <a16:creationId xmlns:a16="http://schemas.microsoft.com/office/drawing/2014/main" id="{338DFAC4-538D-4841-878A-32F07D8EB125}"/>
            </a:ext>
          </a:extLst>
        </xdr:cNvPr>
        <xdr:cNvSpPr txBox="1"/>
      </xdr:nvSpPr>
      <xdr:spPr>
        <a:xfrm>
          <a:off x="9036050" y="44450"/>
          <a:ext cx="1200150" cy="3556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Discount</a:t>
          </a:r>
          <a:endParaRPr lang="en-KE" sz="1100"/>
        </a:p>
      </xdr:txBody>
    </xdr:sp>
    <xdr:clientData/>
  </xdr:twoCellAnchor>
  <xdr:twoCellAnchor>
    <xdr:from>
      <xdr:col>14</xdr:col>
      <xdr:colOff>501650</xdr:colOff>
      <xdr:row>1</xdr:row>
      <xdr:rowOff>196850</xdr:rowOff>
    </xdr:from>
    <xdr:to>
      <xdr:col>16</xdr:col>
      <xdr:colOff>495300</xdr:colOff>
      <xdr:row>3</xdr:row>
      <xdr:rowOff>44450</xdr:rowOff>
    </xdr:to>
    <xdr:sp macro="" textlink="KPIs!C7">
      <xdr:nvSpPr>
        <xdr:cNvPr id="30" name="TextBox 29">
          <a:extLst>
            <a:ext uri="{FF2B5EF4-FFF2-40B4-BE49-F238E27FC236}">
              <a16:creationId xmlns:a16="http://schemas.microsoft.com/office/drawing/2014/main" id="{808953F4-D3B2-4EF0-9CAB-54D368735CE2}"/>
            </a:ext>
          </a:extLst>
        </xdr:cNvPr>
        <xdr:cNvSpPr txBox="1"/>
      </xdr:nvSpPr>
      <xdr:spPr>
        <a:xfrm>
          <a:off x="9036050" y="406400"/>
          <a:ext cx="1212850" cy="2667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4E4ADF0-5CC9-4652-932B-84274C384356}" type="TxLink">
            <a:rPr lang="en-US" sz="1100" b="0" i="0" u="none" strike="noStrike">
              <a:solidFill>
                <a:srgbClr val="000000"/>
              </a:solidFill>
              <a:latin typeface="Garamond"/>
            </a:rPr>
            <a:pPr/>
            <a:t>629.4954128</a:t>
          </a:fld>
          <a:endParaRPr lang="en-KE" sz="1100"/>
        </a:p>
      </xdr:txBody>
    </xdr:sp>
    <xdr:clientData/>
  </xdr:twoCellAnchor>
  <xdr:twoCellAnchor>
    <xdr:from>
      <xdr:col>16</xdr:col>
      <xdr:colOff>552450</xdr:colOff>
      <xdr:row>0</xdr:row>
      <xdr:rowOff>44450</xdr:rowOff>
    </xdr:from>
    <xdr:to>
      <xdr:col>18</xdr:col>
      <xdr:colOff>457200</xdr:colOff>
      <xdr:row>3</xdr:row>
      <xdr:rowOff>76200</xdr:rowOff>
    </xdr:to>
    <xdr:sp macro="" textlink="">
      <xdr:nvSpPr>
        <xdr:cNvPr id="31" name="Rectangle: Rounded Corners 30">
          <a:extLst>
            <a:ext uri="{FF2B5EF4-FFF2-40B4-BE49-F238E27FC236}">
              <a16:creationId xmlns:a16="http://schemas.microsoft.com/office/drawing/2014/main" id="{F548588B-4CF2-43F2-ACB5-7213F8B08EC8}"/>
            </a:ext>
          </a:extLst>
        </xdr:cNvPr>
        <xdr:cNvSpPr/>
      </xdr:nvSpPr>
      <xdr:spPr>
        <a:xfrm>
          <a:off x="10306050" y="44450"/>
          <a:ext cx="1123950" cy="6604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584200</xdr:colOff>
      <xdr:row>0</xdr:row>
      <xdr:rowOff>63500</xdr:rowOff>
    </xdr:from>
    <xdr:to>
      <xdr:col>18</xdr:col>
      <xdr:colOff>444500</xdr:colOff>
      <xdr:row>1</xdr:row>
      <xdr:rowOff>152400</xdr:rowOff>
    </xdr:to>
    <xdr:sp macro="" textlink="">
      <xdr:nvSpPr>
        <xdr:cNvPr id="32" name="TextBox 31">
          <a:extLst>
            <a:ext uri="{FF2B5EF4-FFF2-40B4-BE49-F238E27FC236}">
              <a16:creationId xmlns:a16="http://schemas.microsoft.com/office/drawing/2014/main" id="{BDF42517-1A26-471A-8B4C-0C595ECB2084}"/>
            </a:ext>
          </a:extLst>
        </xdr:cNvPr>
        <xdr:cNvSpPr txBox="1"/>
      </xdr:nvSpPr>
      <xdr:spPr>
        <a:xfrm>
          <a:off x="10337800" y="63500"/>
          <a:ext cx="1079500" cy="2984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Average Rating</a:t>
          </a:r>
          <a:endParaRPr lang="en-KE" sz="1100"/>
        </a:p>
      </xdr:txBody>
    </xdr:sp>
    <xdr:clientData/>
  </xdr:twoCellAnchor>
  <xdr:twoCellAnchor>
    <xdr:from>
      <xdr:col>16</xdr:col>
      <xdr:colOff>584200</xdr:colOff>
      <xdr:row>1</xdr:row>
      <xdr:rowOff>158750</xdr:rowOff>
    </xdr:from>
    <xdr:to>
      <xdr:col>18</xdr:col>
      <xdr:colOff>431800</xdr:colOff>
      <xdr:row>3</xdr:row>
      <xdr:rowOff>6350</xdr:rowOff>
    </xdr:to>
    <xdr:sp macro="" textlink="KPIs!C9">
      <xdr:nvSpPr>
        <xdr:cNvPr id="33" name="TextBox 32">
          <a:extLst>
            <a:ext uri="{FF2B5EF4-FFF2-40B4-BE49-F238E27FC236}">
              <a16:creationId xmlns:a16="http://schemas.microsoft.com/office/drawing/2014/main" id="{BD4111F5-1473-4BF9-83BF-518D317AAF93}"/>
            </a:ext>
          </a:extLst>
        </xdr:cNvPr>
        <xdr:cNvSpPr txBox="1"/>
      </xdr:nvSpPr>
      <xdr:spPr>
        <a:xfrm>
          <a:off x="10337800" y="368300"/>
          <a:ext cx="1066800" cy="2667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A5D85-D41A-4A29-A6D2-E8160F5096FD}" type="TxLink">
            <a:rPr lang="en-US" sz="1100" b="0" i="0" u="none" strike="noStrike">
              <a:solidFill>
                <a:srgbClr val="000000"/>
              </a:solidFill>
              <a:latin typeface="Garamond"/>
            </a:rPr>
            <a:pPr/>
            <a:t>4.037614679</a:t>
          </a:fld>
          <a:endParaRPr lang="en-KE" sz="1100"/>
        </a:p>
      </xdr:txBody>
    </xdr:sp>
    <xdr:clientData/>
  </xdr:twoCellAnchor>
  <xdr:twoCellAnchor>
    <xdr:from>
      <xdr:col>18</xdr:col>
      <xdr:colOff>488950</xdr:colOff>
      <xdr:row>0</xdr:row>
      <xdr:rowOff>44450</xdr:rowOff>
    </xdr:from>
    <xdr:to>
      <xdr:col>20</xdr:col>
      <xdr:colOff>406400</xdr:colOff>
      <xdr:row>3</xdr:row>
      <xdr:rowOff>95250</xdr:rowOff>
    </xdr:to>
    <xdr:sp macro="" textlink="">
      <xdr:nvSpPr>
        <xdr:cNvPr id="43" name="Rectangle: Rounded Corners 42">
          <a:extLst>
            <a:ext uri="{FF2B5EF4-FFF2-40B4-BE49-F238E27FC236}">
              <a16:creationId xmlns:a16="http://schemas.microsoft.com/office/drawing/2014/main" id="{720AECE2-EE1F-4AF5-9BF9-D0F29D352BAD}"/>
            </a:ext>
          </a:extLst>
        </xdr:cNvPr>
        <xdr:cNvSpPr/>
      </xdr:nvSpPr>
      <xdr:spPr>
        <a:xfrm>
          <a:off x="11461750" y="44450"/>
          <a:ext cx="1136650" cy="67945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18</xdr:col>
      <xdr:colOff>495300</xdr:colOff>
      <xdr:row>0</xdr:row>
      <xdr:rowOff>127000</xdr:rowOff>
    </xdr:from>
    <xdr:to>
      <xdr:col>20</xdr:col>
      <xdr:colOff>393700</xdr:colOff>
      <xdr:row>1</xdr:row>
      <xdr:rowOff>190500</xdr:rowOff>
    </xdr:to>
    <xdr:sp macro="" textlink="">
      <xdr:nvSpPr>
        <xdr:cNvPr id="44" name="TextBox 43">
          <a:extLst>
            <a:ext uri="{FF2B5EF4-FFF2-40B4-BE49-F238E27FC236}">
              <a16:creationId xmlns:a16="http://schemas.microsoft.com/office/drawing/2014/main" id="{D8BC5AEE-35C3-4316-9307-016D22C14229}"/>
            </a:ext>
          </a:extLst>
        </xdr:cNvPr>
        <xdr:cNvSpPr txBox="1"/>
      </xdr:nvSpPr>
      <xdr:spPr>
        <a:xfrm>
          <a:off x="11468100" y="127000"/>
          <a:ext cx="1117600" cy="2730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Reviews</a:t>
          </a:r>
          <a:endParaRPr lang="en-KE" sz="1100"/>
        </a:p>
      </xdr:txBody>
    </xdr:sp>
    <xdr:clientData/>
  </xdr:twoCellAnchor>
  <xdr:twoCellAnchor>
    <xdr:from>
      <xdr:col>18</xdr:col>
      <xdr:colOff>495299</xdr:colOff>
      <xdr:row>2</xdr:row>
      <xdr:rowOff>6350</xdr:rowOff>
    </xdr:from>
    <xdr:to>
      <xdr:col>20</xdr:col>
      <xdr:colOff>387350</xdr:colOff>
      <xdr:row>3</xdr:row>
      <xdr:rowOff>63500</xdr:rowOff>
    </xdr:to>
    <xdr:sp macro="" textlink="KPIs!C11">
      <xdr:nvSpPr>
        <xdr:cNvPr id="45" name="TextBox 44">
          <a:extLst>
            <a:ext uri="{FF2B5EF4-FFF2-40B4-BE49-F238E27FC236}">
              <a16:creationId xmlns:a16="http://schemas.microsoft.com/office/drawing/2014/main" id="{DCB2860A-FA39-4B82-AB5F-ED878F029D59}"/>
            </a:ext>
          </a:extLst>
        </xdr:cNvPr>
        <xdr:cNvSpPr txBox="1"/>
      </xdr:nvSpPr>
      <xdr:spPr>
        <a:xfrm>
          <a:off x="11468099" y="425450"/>
          <a:ext cx="1111251" cy="26670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29B4E0-C54A-4042-AA68-FED04B2C3660}" type="TxLink">
            <a:rPr lang="en-US" sz="1100" b="0" i="0" u="none" strike="noStrike">
              <a:solidFill>
                <a:srgbClr val="000000"/>
              </a:solidFill>
              <a:latin typeface="Garamond"/>
            </a:rPr>
            <a:pPr/>
            <a:t>1087</a:t>
          </a:fld>
          <a:endParaRPr lang="en-KE" sz="1100"/>
        </a:p>
      </xdr:txBody>
    </xdr:sp>
    <xdr:clientData/>
  </xdr:twoCellAnchor>
  <xdr:twoCellAnchor>
    <xdr:from>
      <xdr:col>3</xdr:col>
      <xdr:colOff>158750</xdr:colOff>
      <xdr:row>2</xdr:row>
      <xdr:rowOff>107950</xdr:rowOff>
    </xdr:from>
    <xdr:to>
      <xdr:col>6</xdr:col>
      <xdr:colOff>171450</xdr:colOff>
      <xdr:row>4</xdr:row>
      <xdr:rowOff>139700</xdr:rowOff>
    </xdr:to>
    <xdr:sp macro="" textlink="">
      <xdr:nvSpPr>
        <xdr:cNvPr id="51" name="TextBox 50">
          <a:extLst>
            <a:ext uri="{FF2B5EF4-FFF2-40B4-BE49-F238E27FC236}">
              <a16:creationId xmlns:a16="http://schemas.microsoft.com/office/drawing/2014/main" id="{B4B092DC-413E-54D2-D40F-4B9C317AA1A1}"/>
            </a:ext>
          </a:extLst>
        </xdr:cNvPr>
        <xdr:cNvSpPr txBox="1"/>
      </xdr:nvSpPr>
      <xdr:spPr>
        <a:xfrm>
          <a:off x="1987550" y="527050"/>
          <a:ext cx="18415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Relationship Btw %Discount  &amp;</a:t>
          </a:r>
          <a:r>
            <a:rPr lang="en-US" sz="1100" baseline="0"/>
            <a:t> </a:t>
          </a:r>
          <a:r>
            <a:rPr lang="en-US" sz="1100"/>
            <a:t>Reviews</a:t>
          </a:r>
          <a:endParaRPr lang="en-KE" sz="1100"/>
        </a:p>
      </xdr:txBody>
    </xdr:sp>
    <xdr:clientData/>
  </xdr:twoCellAnchor>
  <xdr:twoCellAnchor>
    <xdr:from>
      <xdr:col>6</xdr:col>
      <xdr:colOff>120650</xdr:colOff>
      <xdr:row>2</xdr:row>
      <xdr:rowOff>146050</xdr:rowOff>
    </xdr:from>
    <xdr:to>
      <xdr:col>7</xdr:col>
      <xdr:colOff>533400</xdr:colOff>
      <xdr:row>4</xdr:row>
      <xdr:rowOff>0</xdr:rowOff>
    </xdr:to>
    <xdr:sp macro="" textlink="'Analyse trends and product perf'!C3">
      <xdr:nvSpPr>
        <xdr:cNvPr id="52" name="TextBox 51">
          <a:extLst>
            <a:ext uri="{FF2B5EF4-FFF2-40B4-BE49-F238E27FC236}">
              <a16:creationId xmlns:a16="http://schemas.microsoft.com/office/drawing/2014/main" id="{D83F1E0F-F8CC-5071-CEC4-FB82580AEB37}"/>
            </a:ext>
          </a:extLst>
        </xdr:cNvPr>
        <xdr:cNvSpPr txBox="1"/>
      </xdr:nvSpPr>
      <xdr:spPr>
        <a:xfrm>
          <a:off x="3778250" y="565150"/>
          <a:ext cx="10223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D340F9A-D066-4A75-8B84-B43A94E231C1}" type="TxLink">
            <a:rPr lang="en-US" sz="1100" b="0" i="0" u="none" strike="noStrike">
              <a:solidFill>
                <a:srgbClr val="000000"/>
              </a:solidFill>
              <a:latin typeface="Garamond"/>
            </a:rPr>
            <a:pPr algn="ctr"/>
            <a:t>-0.025715396</a:t>
          </a:fld>
          <a:endParaRPr lang="en-KE" sz="1100"/>
        </a:p>
      </xdr:txBody>
    </xdr:sp>
    <xdr:clientData/>
  </xdr:twoCellAnchor>
  <xdr:twoCellAnchor>
    <xdr:from>
      <xdr:col>3</xdr:col>
      <xdr:colOff>127000</xdr:colOff>
      <xdr:row>5</xdr:row>
      <xdr:rowOff>57150</xdr:rowOff>
    </xdr:from>
    <xdr:to>
      <xdr:col>6</xdr:col>
      <xdr:colOff>412750</xdr:colOff>
      <xdr:row>7</xdr:row>
      <xdr:rowOff>127000</xdr:rowOff>
    </xdr:to>
    <xdr:sp macro="" textlink="">
      <xdr:nvSpPr>
        <xdr:cNvPr id="55" name="TextBox 54">
          <a:extLst>
            <a:ext uri="{FF2B5EF4-FFF2-40B4-BE49-F238E27FC236}">
              <a16:creationId xmlns:a16="http://schemas.microsoft.com/office/drawing/2014/main" id="{62DF58D4-9051-4883-B683-0421610EF1FB}"/>
            </a:ext>
          </a:extLst>
        </xdr:cNvPr>
        <xdr:cNvSpPr txBox="1"/>
      </xdr:nvSpPr>
      <xdr:spPr>
        <a:xfrm>
          <a:off x="1955800" y="1104900"/>
          <a:ext cx="211455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Relationship Btw Products Rating &amp;vReviews</a:t>
          </a:r>
          <a:endParaRPr lang="en-KE" sz="1100"/>
        </a:p>
      </xdr:txBody>
    </xdr:sp>
    <xdr:clientData/>
  </xdr:twoCellAnchor>
  <xdr:twoCellAnchor>
    <xdr:from>
      <xdr:col>6</xdr:col>
      <xdr:colOff>431800</xdr:colOff>
      <xdr:row>5</xdr:row>
      <xdr:rowOff>57150</xdr:rowOff>
    </xdr:from>
    <xdr:to>
      <xdr:col>8</xdr:col>
      <xdr:colOff>215900</xdr:colOff>
      <xdr:row>6</xdr:row>
      <xdr:rowOff>152400</xdr:rowOff>
    </xdr:to>
    <xdr:sp macro="" textlink="'Analyse trends and product perf'!C6">
      <xdr:nvSpPr>
        <xdr:cNvPr id="57" name="TextBox 56">
          <a:extLst>
            <a:ext uri="{FF2B5EF4-FFF2-40B4-BE49-F238E27FC236}">
              <a16:creationId xmlns:a16="http://schemas.microsoft.com/office/drawing/2014/main" id="{B69A8450-A146-40A7-84AF-9964A0FE9E92}"/>
            </a:ext>
          </a:extLst>
        </xdr:cNvPr>
        <xdr:cNvSpPr txBox="1"/>
      </xdr:nvSpPr>
      <xdr:spPr>
        <a:xfrm>
          <a:off x="4089400" y="1104900"/>
          <a:ext cx="10033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A591071-5864-4367-80DA-CB2014B21C0C}" type="TxLink">
            <a:rPr lang="en-US" sz="1100" b="0" i="0" u="none" strike="noStrike">
              <a:solidFill>
                <a:srgbClr val="000000"/>
              </a:solidFill>
              <a:latin typeface="Garamond"/>
            </a:rPr>
            <a:pPr algn="ctr"/>
            <a:t>-0.004740988</a:t>
          </a:fld>
          <a:endParaRPr lang="en-KE" sz="1100"/>
        </a:p>
      </xdr:txBody>
    </xdr:sp>
    <xdr:clientData/>
  </xdr:twoCellAnchor>
  <xdr:twoCellAnchor>
    <xdr:from>
      <xdr:col>3</xdr:col>
      <xdr:colOff>12700</xdr:colOff>
      <xdr:row>8</xdr:row>
      <xdr:rowOff>127000</xdr:rowOff>
    </xdr:from>
    <xdr:to>
      <xdr:col>7</xdr:col>
      <xdr:colOff>552450</xdr:colOff>
      <xdr:row>29</xdr:row>
      <xdr:rowOff>152400</xdr:rowOff>
    </xdr:to>
    <xdr:graphicFrame macro="">
      <xdr:nvGraphicFramePr>
        <xdr:cNvPr id="58" name="Chart 57">
          <a:extLst>
            <a:ext uri="{FF2B5EF4-FFF2-40B4-BE49-F238E27FC236}">
              <a16:creationId xmlns:a16="http://schemas.microsoft.com/office/drawing/2014/main" id="{8306A1DB-5209-4BB0-9121-505D0EDF1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514350</xdr:colOff>
      <xdr:row>16</xdr:row>
      <xdr:rowOff>114300</xdr:rowOff>
    </xdr:from>
    <xdr:to>
      <xdr:col>20</xdr:col>
      <xdr:colOff>381000</xdr:colOff>
      <xdr:row>30</xdr:row>
      <xdr:rowOff>25400</xdr:rowOff>
    </xdr:to>
    <xdr:graphicFrame macro="">
      <xdr:nvGraphicFramePr>
        <xdr:cNvPr id="61" name="Chart 60">
          <a:extLst>
            <a:ext uri="{FF2B5EF4-FFF2-40B4-BE49-F238E27FC236}">
              <a16:creationId xmlns:a16="http://schemas.microsoft.com/office/drawing/2014/main" id="{489E1400-C8D0-42F2-B83D-8DAB9EE1F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3</xdr:row>
      <xdr:rowOff>171450</xdr:rowOff>
    </xdr:from>
    <xdr:to>
      <xdr:col>20</xdr:col>
      <xdr:colOff>368300</xdr:colOff>
      <xdr:row>15</xdr:row>
      <xdr:rowOff>107950</xdr:rowOff>
    </xdr:to>
    <xdr:graphicFrame macro="">
      <xdr:nvGraphicFramePr>
        <xdr:cNvPr id="62" name="Chart 61">
          <a:extLst>
            <a:ext uri="{FF2B5EF4-FFF2-40B4-BE49-F238E27FC236}">
              <a16:creationId xmlns:a16="http://schemas.microsoft.com/office/drawing/2014/main" id="{E363C1BF-D778-4F47-BDEF-2238FCC67D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xdr:colOff>
      <xdr:row>6</xdr:row>
      <xdr:rowOff>95250</xdr:rowOff>
    </xdr:from>
    <xdr:to>
      <xdr:col>2</xdr:col>
      <xdr:colOff>596900</xdr:colOff>
      <xdr:row>12</xdr:row>
      <xdr:rowOff>114300</xdr:rowOff>
    </xdr:to>
    <mc:AlternateContent xmlns:mc="http://schemas.openxmlformats.org/markup-compatibility/2006" xmlns:a14="http://schemas.microsoft.com/office/drawing/2010/main">
      <mc:Choice Requires="a14">
        <xdr:graphicFrame macro="">
          <xdr:nvGraphicFramePr>
            <xdr:cNvPr id="6148" name="PriceCategory">
              <a:extLst>
                <a:ext uri="{FF2B5EF4-FFF2-40B4-BE49-F238E27FC236}">
                  <a16:creationId xmlns:a16="http://schemas.microsoft.com/office/drawing/2014/main" id="{8A5D6CEF-60E4-410B-8D78-52DE2B7045B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iceCategory"/>
            </a:graphicData>
          </a:graphic>
        </xdr:graphicFrame>
      </mc:Choice>
      <mc:Fallback xmlns="">
        <xdr:sp macro="" textlink="">
          <xdr:nvSpPr>
            <xdr:cNvPr id="0" name=""/>
            <xdr:cNvSpPr>
              <a:spLocks noTextEdit="1"/>
            </xdr:cNvSpPr>
          </xdr:nvSpPr>
          <xdr:spPr>
            <a:xfrm>
              <a:off x="292100" y="1352550"/>
              <a:ext cx="1524000" cy="1276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13</xdr:row>
      <xdr:rowOff>19050</xdr:rowOff>
    </xdr:from>
    <xdr:to>
      <xdr:col>2</xdr:col>
      <xdr:colOff>571500</xdr:colOff>
      <xdr:row>18</xdr:row>
      <xdr:rowOff>120650</xdr:rowOff>
    </xdr:to>
    <mc:AlternateContent xmlns:mc="http://schemas.openxmlformats.org/markup-compatibility/2006" xmlns:a14="http://schemas.microsoft.com/office/drawing/2010/main">
      <mc:Choice Requires="a14">
        <xdr:graphicFrame macro="">
          <xdr:nvGraphicFramePr>
            <xdr:cNvPr id="6149" name="discount_category 1">
              <a:extLst>
                <a:ext uri="{FF2B5EF4-FFF2-40B4-BE49-F238E27FC236}">
                  <a16:creationId xmlns:a16="http://schemas.microsoft.com/office/drawing/2014/main" id="{302F023A-BD71-423E-9CAB-E6EFE19052DC}"/>
                </a:ext>
              </a:extLst>
            </xdr:cNvPr>
            <xdr:cNvGraphicFramePr/>
          </xdr:nvGraphicFramePr>
          <xdr:xfrm>
            <a:off x="0" y="0"/>
            <a:ext cx="0" cy="0"/>
          </xdr:xfrm>
          <a:graphic>
            <a:graphicData uri="http://schemas.microsoft.com/office/drawing/2010/slicer">
              <sle:slicer xmlns:sle="http://schemas.microsoft.com/office/drawing/2010/slicer" name="discount_category 1"/>
            </a:graphicData>
          </a:graphic>
        </xdr:graphicFrame>
      </mc:Choice>
      <mc:Fallback xmlns="">
        <xdr:sp macro="" textlink="">
          <xdr:nvSpPr>
            <xdr:cNvPr id="0" name=""/>
            <xdr:cNvSpPr>
              <a:spLocks noTextEdit="1"/>
            </xdr:cNvSpPr>
          </xdr:nvSpPr>
          <xdr:spPr>
            <a:xfrm>
              <a:off x="279400" y="2743200"/>
              <a:ext cx="1511300" cy="1149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31750</xdr:colOff>
      <xdr:row>0</xdr:row>
      <xdr:rowOff>57150</xdr:rowOff>
    </xdr:from>
    <xdr:to>
      <xdr:col>2</xdr:col>
      <xdr:colOff>590550</xdr:colOff>
      <xdr:row>5</xdr:row>
      <xdr:rowOff>127000</xdr:rowOff>
    </xdr:to>
    <xdr:sp macro="" textlink="">
      <xdr:nvSpPr>
        <xdr:cNvPr id="6154" name="Rectangle: Rounded Corners 6153">
          <a:extLst>
            <a:ext uri="{FF2B5EF4-FFF2-40B4-BE49-F238E27FC236}">
              <a16:creationId xmlns:a16="http://schemas.microsoft.com/office/drawing/2014/main" id="{01089C47-D0D5-4385-9C41-915D2D2A8778}"/>
            </a:ext>
          </a:extLst>
        </xdr:cNvPr>
        <xdr:cNvSpPr/>
      </xdr:nvSpPr>
      <xdr:spPr>
        <a:xfrm>
          <a:off x="31750" y="57150"/>
          <a:ext cx="1778000" cy="1117600"/>
        </a:xfrm>
        <a:prstGeom prst="round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0</xdr:col>
      <xdr:colOff>63500</xdr:colOff>
      <xdr:row>0</xdr:row>
      <xdr:rowOff>76200</xdr:rowOff>
    </xdr:from>
    <xdr:to>
      <xdr:col>2</xdr:col>
      <xdr:colOff>508000</xdr:colOff>
      <xdr:row>5</xdr:row>
      <xdr:rowOff>76200</xdr:rowOff>
    </xdr:to>
    <xdr:sp macro="" textlink="">
      <xdr:nvSpPr>
        <xdr:cNvPr id="6158" name="TextBox 6157">
          <a:extLst>
            <a:ext uri="{FF2B5EF4-FFF2-40B4-BE49-F238E27FC236}">
              <a16:creationId xmlns:a16="http://schemas.microsoft.com/office/drawing/2014/main" id="{5F564FCF-755E-4AC1-9A65-5E35D169BCD4}"/>
            </a:ext>
          </a:extLst>
        </xdr:cNvPr>
        <xdr:cNvSpPr txBox="1"/>
      </xdr:nvSpPr>
      <xdr:spPr>
        <a:xfrm>
          <a:off x="63500" y="76200"/>
          <a:ext cx="1663700" cy="1047750"/>
        </a:xfrm>
        <a:prstGeom prst="rect">
          <a:avLst/>
        </a:prstGeom>
        <a:solidFill>
          <a:schemeClr val="bg1">
            <a:lumMod val="95000"/>
          </a:schemeClr>
        </a:solidFill>
        <a:ln w="9525" cmpd="sng">
          <a:noFill/>
        </a:ln>
        <a:effectLst>
          <a:innerShdw blurRad="63500" dist="50800" dir="135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2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Slicers</a:t>
          </a:r>
          <a:endParaRPr lang="en-KE" sz="32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8</xdr:col>
      <xdr:colOff>292100</xdr:colOff>
      <xdr:row>5</xdr:row>
      <xdr:rowOff>177800</xdr:rowOff>
    </xdr:from>
    <xdr:to>
      <xdr:col>12</xdr:col>
      <xdr:colOff>444500</xdr:colOff>
      <xdr:row>15</xdr:row>
      <xdr:rowOff>63500</xdr:rowOff>
    </xdr:to>
    <xdr:graphicFrame macro="">
      <xdr:nvGraphicFramePr>
        <xdr:cNvPr id="6159" name="Chart 6158">
          <a:extLst>
            <a:ext uri="{FF2B5EF4-FFF2-40B4-BE49-F238E27FC236}">
              <a16:creationId xmlns:a16="http://schemas.microsoft.com/office/drawing/2014/main" id="{25EF6912-5B4A-41A6-82E0-5486638B6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349250</xdr:colOff>
      <xdr:row>17</xdr:row>
      <xdr:rowOff>6350</xdr:rowOff>
    </xdr:from>
    <xdr:to>
      <xdr:col>14</xdr:col>
      <xdr:colOff>361950</xdr:colOff>
      <xdr:row>29</xdr:row>
      <xdr:rowOff>165100</xdr:rowOff>
    </xdr:to>
    <xdr:graphicFrame macro="">
      <xdr:nvGraphicFramePr>
        <xdr:cNvPr id="3" name="Chart 2">
          <a:extLst>
            <a:ext uri="{FF2B5EF4-FFF2-40B4-BE49-F238E27FC236}">
              <a16:creationId xmlns:a16="http://schemas.microsoft.com/office/drawing/2014/main" id="{E36161AB-ED5D-4F24-A1D3-146AA3FC5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18</xdr:row>
      <xdr:rowOff>184151</xdr:rowOff>
    </xdr:from>
    <xdr:to>
      <xdr:col>3</xdr:col>
      <xdr:colOff>0</xdr:colOff>
      <xdr:row>30</xdr:row>
      <xdr:rowOff>38100</xdr:rowOff>
    </xdr:to>
    <mc:AlternateContent xmlns:mc="http://schemas.openxmlformats.org/markup-compatibility/2006">
      <mc:Choice xmlns:a14="http://schemas.microsoft.com/office/drawing/2010/main" Requires="a14">
        <xdr:graphicFrame macro="">
          <xdr:nvGraphicFramePr>
            <xdr:cNvPr id="4" name="rating_category 1">
              <a:extLst>
                <a:ext uri="{FF2B5EF4-FFF2-40B4-BE49-F238E27FC236}">
                  <a16:creationId xmlns:a16="http://schemas.microsoft.com/office/drawing/2014/main" id="{DCA5D1F1-91F3-4175-AE5D-9941E4BE877D}"/>
                </a:ext>
              </a:extLst>
            </xdr:cNvPr>
            <xdr:cNvGraphicFramePr/>
          </xdr:nvGraphicFramePr>
          <xdr:xfrm>
            <a:off x="0" y="0"/>
            <a:ext cx="0" cy="0"/>
          </xdr:xfrm>
          <a:graphic>
            <a:graphicData uri="http://schemas.microsoft.com/office/drawing/2010/slicer">
              <sle:slicer xmlns:sle="http://schemas.microsoft.com/office/drawing/2010/slicer" name="rating_category 1"/>
            </a:graphicData>
          </a:graphic>
        </xdr:graphicFrame>
      </mc:Choice>
      <mc:Fallback>
        <xdr:sp macro="" textlink="">
          <xdr:nvSpPr>
            <xdr:cNvPr id="0" name=""/>
            <xdr:cNvSpPr>
              <a:spLocks noTextEdit="1"/>
            </xdr:cNvSpPr>
          </xdr:nvSpPr>
          <xdr:spPr>
            <a:xfrm>
              <a:off x="0" y="3956051"/>
              <a:ext cx="1828800" cy="23685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7.44892141204" createdVersion="8" refreshedVersion="8" minRefreshableVersion="3" recordCount="109" xr:uid="{2F044163-5FF3-4092-8B87-57B505352F16}">
  <cacheSource type="worksheet">
    <worksheetSource name="Table1"/>
  </cacheSource>
  <cacheFields count="11">
    <cacheField name="product" numFmtId="0">
      <sharedItems count="109">
        <s v="1/2/3 Seater Elastic Sofa Cover,Living Room/Home Decor Chair Cover-Grey"/>
        <s v="100 Pcs Crochet Hook Tool Set Knitting Hook Set With Box"/>
        <s v="115  Piece Set Of Multifunctional Precision Screwdrivers"/>
        <s v="12 Litre Black Insulated Lunch Box"/>
        <s v="12 Litre Insulated Lunch Box Grey"/>
        <s v="120W Cordless Vacuum Cleaners Handheld Electric Vacuum Cleaner"/>
        <s v="12V 19500rpm Handheld Electric Angle Grinder Tool - UK - Yellow/Black"/>
        <s v="13 In 1 Home Repair Tools Box Kit Set"/>
        <s v="137 Pieces Cake Decorating Tool Set Baking Supplies"/>
        <s v="1PC Refrigerator Food Seal Pocket Fridge Bags"/>
        <s v="2 Pairs Cowhide Split Leather Work Gloves.32â„‰ Or Above Welding Gloves"/>
        <s v="220V 60W Electric Soldering Iron Kits With Tools, Tips, And Multimeter"/>
        <s v="24 Grid Wall-mounted Sundries Organiser Fabric Closet Bag Storage Rack"/>
        <s v="2PCS Ice Silk Square Cushion Cover Pillowcases - 65x65cm"/>
        <s v="2pcs Solar Street Light Flood Light Outdoor"/>
        <s v="2PCS/LOT Solar LED Outdoor Intelligent Light Controlled Wall Lamp"/>
        <s v="32PCS Portable Cordless Drill Set With Cyclic Battery Drive -26 Variable Speed"/>
        <s v="380ML USB Rechargeable Portable Small Blenders And Juicers"/>
        <s v="3D Waterproof EVA Plastic Shower Curtain 1.8*2Mtrs"/>
        <s v="3PCS Rotary Scraper Thermomix For Kitchen"/>
        <s v="3PCS Single Head Knitting Crochet Sweater Needle Set"/>
        <s v="4 Piece Coloured Stainless Steel Kitchenware Set"/>
        <s v="40cm Gold DIY Acrylic Wall Sticker Clock"/>
        <s v="4M Float Switch Water Level Controller -Water Tank"/>
        <s v="4pcs Bathroom/Kitchen Towel Rack,Roll Paper Holder,Towel Bars,Hook"/>
        <s v="5 Pieces/set Of Stainless Steel Induction Cooker Pots"/>
        <s v="52 Pieces Cake Decorating Tool Set Gift Kit Baking Supplies"/>
        <s v="53 Pieces/Set Yarn Knitting Crochet Hooks With Bag - Pansies"/>
        <s v="53Pcs/Set Yarn Knitting Crochet Hooks With Bag - Fortune Cat"/>
        <s v="5m Waterproof Spherical LED String Lights Outdoor Ball Chain Lights Party Lighting Decoration Adjustable"/>
        <s v="5-PCS Stainless Steel Cooking Pot Set With Steamed Slices"/>
        <s v="6 In 1 Bottle Can Opener Multifunctional Easy Opener"/>
        <s v="6 Layers Steel Pipe Assembling Dustproof Storage Shoe Cabinet"/>
        <s v="60W Hot Melt Glue Sprayer - Efficient And Stable Glue Dispensing"/>
        <s v="7PCS Silicone Thumb Knife Finger Protector Vegetable Harvesting Knife"/>
        <s v="7-piece Set Of Storage Bags, Travel Storage Bags, Shoe Bags"/>
        <s v="8in1 Screwdriver With LED Light"/>
        <s v="9pcs Gas Mask, For Painting, Dust, Formaldehyde Grinding, Polishing"/>
        <s v="Agapeon Toothbrush Holder And Toothpaste Dispenser"/>
        <s v="Angle Measuring Tool Full Metal Multi Angle Measuring Tool"/>
        <s v="Anti-Skid Absorbent Insulation Coaster  For Home Office"/>
        <s v="Artificial Potted Flowers Room Decorative Flowers (2 Pieces)"/>
        <s v="Baby Early Education Shape And Color Cognitive Training Toys"/>
        <s v="Balloon Insert, Birthday Party Balloon Set, PU Leather"/>
        <s v="Bedroom Simple Floor Hanging Clothes Rack Single Pole Hat Rack - White"/>
        <s v="Black Simple Water Cup Wine Coaster Anti Slip Absorbent"/>
        <s v="Brush &amp; Paintbrush Cleaning Tool Pink"/>
        <s v="Car Phone Charging Stand"/>
        <s v="Cartoon Car Decoration Cute Individuality For Car Home Desk"/>
        <s v="Cartoon Embroidered Mini Towel Bear Cotton Wash Cloth Hand 4pcs"/>
        <s v="Christmas Elk Fence Yard Lawn Decorations Cute For Holidays"/>
        <s v="Christmas Fence Garden Decorations Outdoor For Holiday Home"/>
        <s v="Classic Black Cat Cotton Hemp Pillow Case For Home Car"/>
        <s v="Creative Owl Shape Keychain Black"/>
        <s v="Cushion Silicone Butt Cushion Summer Ice Cushion Honeycomb Gel Cushion"/>
        <s v="Cute Christmas Fence Garden Decorations For Holiday Home"/>
        <s v="Desk Foldable Fan Adjustable Fan Strong Wind 3 Gear Usb"/>
        <s v="DIY File Folder, Office Drawer File Holder, Pen Holder, Desktop Storage Rack"/>
        <s v="Electric LED UV Mosquito Killer Lamp, Outdoor/Indoor Fly Killer Trap Light -USB"/>
        <s v="Electronic Digital Display Vernier Caliper"/>
        <s v="Exfoliate And Exfoliate Face Towel - Black"/>
        <s v="Foldable Overbed Table/Desk"/>
        <s v="Genebre 115 In 1 Screwdriver Repairing Tool Set For IPhone Cellphone Hand Tool"/>
        <s v="Household Pineapple Peeler Peeler"/>
        <s v="Intelligent  LED Body Sensor Wireless Lighting Night Light USB"/>
        <s v="Konka Healty Electric Kettle, 24-hour Heat Preservation,1.5L,800W, White"/>
        <s v="Large Lazy Inflatable Sofa Chairs PVC Lounger Seat Bag"/>
        <s v="LASA 3 Tier Bamboo Shoe Bench Storage Shelf"/>
        <s v="LASA Aluminum Folding Truck Hand Cart - 68kg Max"/>
        <s v="LASA Digital Thermometer And Hydrometer"/>
        <s v="LASA FOLDING TABLE SERVING STAND"/>
        <s v="LASA Stainless Steel Double Wall Mount Soap Dispenser - 500ml"/>
        <s v="LED Eye Protection  Desk Lamp , Study, Reading, USB Fan - Double Pen Holder"/>
        <s v="LED Romantic Spaceship Starry Sky Projector,Children's Bedroom Night Light-Blue"/>
        <s v="LED Solar Street Light-fake Camera"/>
        <s v="LED Wall Digital Alarm Clock Study Home 12 / 24H Clock Calendar"/>
        <s v="Memory Foam Neck Pillow Cover, With Pillow Core - 50*30cm"/>
        <s v="Metal Decorative Hooks Key Hangers Entryway Wall Hooks Towel Hooks - Home"/>
        <s v="Metal Wall Clock Silver Dial Crystal Jewelry Round Home Decoration Wall Clock"/>
        <s v="Modern Sofa Throw Pillow Cover-45x45cm-Blue&amp;Red"/>
        <s v="Multifunction Laser Level With Adjustment Tripod"/>
        <s v="Multifunctional Hanging Storage Box Storage Bag (4 Layers)"/>
        <s v="MultiFunctional Storage Rack Multi-layer Booelf"/>
        <s v="Multi-purpose Rice Drainage Basket And Fruit And Vegetable Drainage Sieve"/>
        <s v="Mythco 120COB Solar Wall Ligt With Motion Sensor And Remote Control 3 Modes"/>
        <s v="Office Chair Lumbar Back Support Spine Posture Correction Pillow Car Cushion"/>
        <s v="Outdoor Portable Water Bottle With Medicine Box - 600ML - Black"/>
        <s v="Peacock  Throw Pillow Cushion Case For Home Car"/>
        <s v="Pen Grips For Kids Pen Grip Posture Correction Tool For Kids"/>
        <s v="Pilates Cloth Bag Waterproof Durable High Capacity Purple"/>
        <s v="Portable Home Small Air Humidifier 3-Speed Fan - Green"/>
        <s v="Portable Mini Cordless Car Vacuum Cleaner - Blue"/>
        <s v="Portable Soap Dispenser Kitchen Detergent Press Box Kitchen Tools"/>
        <s v="Portable Wardrobe Nonwoven With 3 Hanging Rods And 6 Storage Shelves"/>
        <s v="Portable Wine Table With Folding Round Table"/>
        <s v="Punch-free Great Load Bearing Bathroom Storage Rack Wall Shelf-White"/>
        <s v="Sewing Machine Needle Threader Stitch Insertion Tool Automatic Quick Sewing"/>
        <s v="Shower Cap Wide Elastic Band Cover Reusable Bashroom Cap"/>
        <s v="Shower Nozzle Cleaning Unclogging Needle Mini Crevice Small Hole Cleaning Brush"/>
        <s v="Simple Metal Dog Art Sculpture Decoration For Home Office"/>
        <s v="Thickening Multipurpose Non Stick Easy To Clean Heat Resistant Spoon Pad"/>
        <s v="VIC Wireless Vacuum Cleaner Dual Use For Home And Car 120W High Power Powerful"/>
        <s v="Wall Clock With Hidden Safe Box"/>
        <s v="Wall Mount Automatic Toothpaste Dispenser Toothbrush Holder Toothpaste Squeezer"/>
        <s v="Wall-mounted Sticker Punch-free Plug Fixer"/>
        <s v="Wall-Mounted Toothbrush Toothpaste Holder With Multiple Slots"/>
        <s v="Watercolour Gold Foil Textured Print Pillow Cover"/>
        <s v="Weighing Scale Digital Bathroom Body Fat Scale USB-Black"/>
        <s v="Wrought Iron Bathroom Shelf Wall Mounted Free Punch Toilet Rack"/>
      </sharedItems>
    </cacheField>
    <cacheField name="current_price" numFmtId="0">
      <sharedItems containsSemiMixedTypes="0" containsString="0" containsNumber="1" containsInteger="1" minValue="38" maxValue="3750"/>
    </cacheField>
    <cacheField name="old_price" numFmtId="0">
      <sharedItems containsSemiMixedTypes="0" containsString="0" containsNumber="1" containsInteger="1" minValue="80" maxValue="6143"/>
    </cacheField>
    <cacheField name="price_category" numFmtId="0">
      <sharedItems count="3">
        <s v="Expensive"/>
        <s v="Moderate"/>
        <s v="Inexpensive"/>
      </sharedItems>
    </cacheField>
    <cacheField name="discount_calc" numFmtId="0">
      <sharedItems containsSemiMixedTypes="0" containsString="0" containsNumber="1" containsInteger="1" minValue="24" maxValue="2585"/>
    </cacheField>
    <cacheField name="%discount_calc" numFmtId="0">
      <sharedItems containsSemiMixedTypes="0" containsString="0" containsNumber="1" minValue="1.2638230647709321E-2" maxValue="0.64014466546112114"/>
    </cacheField>
    <cacheField name="discount2" numFmtId="9">
      <sharedItems containsSemiMixedTypes="0" containsString="0" containsNumber="1" minValue="0.01" maxValue="0.64"/>
    </cacheField>
    <cacheField name="discount_category" numFmtId="9">
      <sharedItems count="3">
        <s v="Medium"/>
        <s v="High"/>
        <s v="Low"/>
      </sharedItems>
    </cacheField>
    <cacheField name="review" numFmtId="0">
      <sharedItems containsSemiMixedTypes="0" containsString="0" containsNumber="1" containsInteger="1" minValue="1" maxValue="69"/>
    </cacheField>
    <cacheField name="rating" numFmtId="0">
      <sharedItems containsSemiMixedTypes="0" containsString="0" containsNumber="1" minValue="2" maxValue="5"/>
    </cacheField>
    <cacheField name="rating_category" numFmtId="0">
      <sharedItems count="3">
        <s v="Excellent"/>
        <s v="Average"/>
        <s v="Poor"/>
      </sharedItems>
    </cacheField>
  </cacheFields>
  <extLst>
    <ext xmlns:x14="http://schemas.microsoft.com/office/spreadsheetml/2009/9/main" uri="{725AE2AE-9491-48be-B2B4-4EB974FC3084}">
      <x14:pivotCacheDefinition pivotCacheId="522633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x v="0"/>
    <n v="1800"/>
    <n v="2700"/>
    <x v="0"/>
    <n v="900"/>
    <n v="0.33333333333333331"/>
    <n v="0.38"/>
    <x v="0"/>
    <n v="2"/>
    <n v="4.5"/>
    <x v="0"/>
  </r>
  <r>
    <x v="1"/>
    <n v="990"/>
    <n v="1500"/>
    <x v="1"/>
    <n v="510"/>
    <n v="0.34"/>
    <n v="0.34"/>
    <x v="0"/>
    <n v="39"/>
    <n v="4.7"/>
    <x v="0"/>
  </r>
  <r>
    <x v="2"/>
    <n v="950"/>
    <n v="1525"/>
    <x v="1"/>
    <n v="575"/>
    <n v="0.37704918032786883"/>
    <n v="0.38"/>
    <x v="0"/>
    <n v="2"/>
    <n v="4.5"/>
    <x v="0"/>
  </r>
  <r>
    <x v="3"/>
    <n v="1350"/>
    <n v="1990"/>
    <x v="1"/>
    <n v="640"/>
    <n v="0.32160804020100503"/>
    <n v="0.32"/>
    <x v="0"/>
    <n v="13"/>
    <n v="3.8"/>
    <x v="1"/>
  </r>
  <r>
    <x v="4"/>
    <n v="980"/>
    <n v="1490"/>
    <x v="1"/>
    <n v="510"/>
    <n v="0.34228187919463088"/>
    <n v="0.34"/>
    <x v="0"/>
    <n v="12"/>
    <n v="4.7"/>
    <x v="0"/>
  </r>
  <r>
    <x v="5"/>
    <n v="445"/>
    <n v="873"/>
    <x v="2"/>
    <n v="428"/>
    <n v="0.49026345933562426"/>
    <n v="0.49"/>
    <x v="1"/>
    <n v="69"/>
    <n v="2.8"/>
    <x v="2"/>
  </r>
  <r>
    <x v="6"/>
    <n v="2799"/>
    <n v="3810"/>
    <x v="0"/>
    <n v="1011"/>
    <n v="0.26535433070866143"/>
    <n v="0.27"/>
    <x v="0"/>
    <n v="7"/>
    <n v="4.2"/>
    <x v="1"/>
  </r>
  <r>
    <x v="7"/>
    <n v="1600"/>
    <n v="2929"/>
    <x v="0"/>
    <n v="1329"/>
    <n v="0.45373847729600547"/>
    <n v="0.45"/>
    <x v="1"/>
    <n v="5"/>
    <n v="3.8"/>
    <x v="1"/>
  </r>
  <r>
    <x v="8"/>
    <n v="2319"/>
    <n v="3032"/>
    <x v="0"/>
    <n v="713"/>
    <n v="0.23515831134564644"/>
    <n v="0.24"/>
    <x v="0"/>
    <n v="55"/>
    <n v="4.5999999999999996"/>
    <x v="0"/>
  </r>
  <r>
    <x v="9"/>
    <n v="198"/>
    <n v="260"/>
    <x v="2"/>
    <n v="62"/>
    <n v="0.23846153846153847"/>
    <n v="0.24"/>
    <x v="0"/>
    <n v="7"/>
    <n v="4.2"/>
    <x v="1"/>
  </r>
  <r>
    <x v="10"/>
    <n v="1666"/>
    <n v="1699"/>
    <x v="0"/>
    <n v="33"/>
    <n v="1.9423190111830489E-2"/>
    <n v="0.02"/>
    <x v="2"/>
    <n v="7"/>
    <n v="4.2"/>
    <x v="1"/>
  </r>
  <r>
    <x v="11"/>
    <n v="2999"/>
    <n v="3290"/>
    <x v="0"/>
    <n v="291"/>
    <n v="8.8449848024316116E-2"/>
    <n v="0.09"/>
    <x v="2"/>
    <n v="15"/>
    <n v="4"/>
    <x v="1"/>
  </r>
  <r>
    <x v="12"/>
    <n v="1875"/>
    <n v="1899"/>
    <x v="0"/>
    <n v="24"/>
    <n v="1.2638230647709321E-2"/>
    <n v="0.01"/>
    <x v="2"/>
    <n v="7"/>
    <n v="4.2"/>
    <x v="1"/>
  </r>
  <r>
    <x v="13"/>
    <n v="1200"/>
    <n v="2400"/>
    <x v="1"/>
    <n v="1200"/>
    <n v="0.5"/>
    <n v="0.5"/>
    <x v="1"/>
    <n v="7"/>
    <n v="4.2"/>
    <x v="1"/>
  </r>
  <r>
    <x v="14"/>
    <n v="1200"/>
    <n v="1950"/>
    <x v="1"/>
    <n v="750"/>
    <n v="0.38461538461538464"/>
    <n v="0.38"/>
    <x v="0"/>
    <n v="7"/>
    <n v="4.2"/>
    <x v="1"/>
  </r>
  <r>
    <x v="15"/>
    <n v="790"/>
    <n v="1485"/>
    <x v="1"/>
    <n v="695"/>
    <n v="0.46801346801346799"/>
    <n v="0.47"/>
    <x v="1"/>
    <n v="7"/>
    <n v="4.2"/>
    <x v="1"/>
  </r>
  <r>
    <x v="16"/>
    <n v="3750"/>
    <n v="6143"/>
    <x v="0"/>
    <n v="2393"/>
    <n v="0.38954908025394758"/>
    <n v="0.39"/>
    <x v="0"/>
    <n v="5"/>
    <n v="3"/>
    <x v="2"/>
  </r>
  <r>
    <x v="17"/>
    <n v="1000"/>
    <n v="2000"/>
    <x v="1"/>
    <n v="1000"/>
    <n v="0.5"/>
    <n v="0.5"/>
    <x v="1"/>
    <n v="7"/>
    <n v="2.2999999999999998"/>
    <x v="2"/>
  </r>
  <r>
    <x v="18"/>
    <n v="998"/>
    <n v="1966"/>
    <x v="1"/>
    <n v="968"/>
    <n v="0.49237029501525942"/>
    <n v="0.49"/>
    <x v="1"/>
    <n v="44"/>
    <n v="4.5999999999999996"/>
    <x v="0"/>
  </r>
  <r>
    <x v="19"/>
    <n v="690"/>
    <n v="1200"/>
    <x v="1"/>
    <n v="510"/>
    <n v="0.42499999999999999"/>
    <n v="0.43"/>
    <x v="1"/>
    <n v="7"/>
    <n v="4.2"/>
    <x v="1"/>
  </r>
  <r>
    <x v="20"/>
    <n v="38"/>
    <n v="80"/>
    <x v="2"/>
    <n v="42"/>
    <n v="0.52500000000000002"/>
    <n v="0.53"/>
    <x v="1"/>
    <n v="13"/>
    <n v="3.3"/>
    <x v="1"/>
  </r>
  <r>
    <x v="21"/>
    <n v="248"/>
    <n v="486"/>
    <x v="2"/>
    <n v="238"/>
    <n v="0.48971193415637859"/>
    <n v="0.49"/>
    <x v="1"/>
    <n v="7"/>
    <n v="4.2"/>
    <x v="1"/>
  </r>
  <r>
    <x v="22"/>
    <n v="552"/>
    <n v="1035"/>
    <x v="1"/>
    <n v="483"/>
    <n v="0.46666666666666667"/>
    <n v="0.47"/>
    <x v="1"/>
    <n v="12"/>
    <n v="4.8"/>
    <x v="0"/>
  </r>
  <r>
    <x v="23"/>
    <n v="475"/>
    <n v="931"/>
    <x v="2"/>
    <n v="456"/>
    <n v="0.48979591836734693"/>
    <n v="0.49"/>
    <x v="1"/>
    <n v="7"/>
    <n v="4.2"/>
    <x v="1"/>
  </r>
  <r>
    <x v="24"/>
    <n v="1860"/>
    <n v="3220"/>
    <x v="0"/>
    <n v="1360"/>
    <n v="0.42236024844720499"/>
    <n v="0.42"/>
    <x v="1"/>
    <n v="7"/>
    <n v="4.2"/>
    <x v="1"/>
  </r>
  <r>
    <x v="25"/>
    <n v="2170"/>
    <n v="2500"/>
    <x v="0"/>
    <n v="330"/>
    <n v="0.13200000000000001"/>
    <n v="0.13"/>
    <x v="2"/>
    <n v="6"/>
    <n v="2.5"/>
    <x v="2"/>
  </r>
  <r>
    <x v="26"/>
    <n v="1758"/>
    <n v="2499"/>
    <x v="0"/>
    <n v="741"/>
    <n v="0.2965186074429772"/>
    <n v="0.3"/>
    <x v="0"/>
    <n v="20"/>
    <n v="4.0999999999999996"/>
    <x v="1"/>
  </r>
  <r>
    <x v="27"/>
    <n v="1980"/>
    <n v="2699"/>
    <x v="0"/>
    <n v="719"/>
    <n v="0.26639496109670247"/>
    <n v="0.27"/>
    <x v="0"/>
    <n v="32"/>
    <n v="4.5"/>
    <x v="0"/>
  </r>
  <r>
    <x v="28"/>
    <n v="1940"/>
    <n v="2650"/>
    <x v="0"/>
    <n v="710"/>
    <n v="0.26792452830188679"/>
    <n v="0.27"/>
    <x v="0"/>
    <n v="20"/>
    <n v="4.7"/>
    <x v="0"/>
  </r>
  <r>
    <x v="29"/>
    <n v="1460"/>
    <n v="2290"/>
    <x v="1"/>
    <n v="830"/>
    <n v="0.36244541484716158"/>
    <n v="0.36"/>
    <x v="0"/>
    <n v="7"/>
    <n v="4.2"/>
    <x v="1"/>
  </r>
  <r>
    <x v="30"/>
    <n v="2115"/>
    <n v="4700"/>
    <x v="0"/>
    <n v="2585"/>
    <n v="0.55000000000000004"/>
    <n v="0.55000000000000004"/>
    <x v="1"/>
    <n v="13"/>
    <n v="2.1"/>
    <x v="2"/>
  </r>
  <r>
    <x v="31"/>
    <n v="199"/>
    <n v="553"/>
    <x v="2"/>
    <n v="354"/>
    <n v="0.64014466546112114"/>
    <n v="0.64"/>
    <x v="1"/>
    <n v="7"/>
    <n v="4.2"/>
    <x v="1"/>
  </r>
  <r>
    <x v="32"/>
    <n v="899"/>
    <n v="1699"/>
    <x v="1"/>
    <n v="800"/>
    <n v="0.47086521483225424"/>
    <n v="0.47"/>
    <x v="1"/>
    <n v="7"/>
    <n v="4.2"/>
    <x v="1"/>
  </r>
  <r>
    <x v="33"/>
    <n v="1190"/>
    <n v="1785"/>
    <x v="1"/>
    <n v="595"/>
    <n v="0.33333333333333331"/>
    <n v="0.33"/>
    <x v="0"/>
    <n v="7"/>
    <n v="4.2"/>
    <x v="1"/>
  </r>
  <r>
    <x v="34"/>
    <n v="230"/>
    <n v="450"/>
    <x v="2"/>
    <n v="220"/>
    <n v="0.48888888888888887"/>
    <n v="0.49"/>
    <x v="1"/>
    <n v="7"/>
    <n v="4.2"/>
    <x v="1"/>
  </r>
  <r>
    <x v="35"/>
    <n v="968"/>
    <n v="1814"/>
    <x v="1"/>
    <n v="846"/>
    <n v="0.46637265711135611"/>
    <n v="0.47"/>
    <x v="1"/>
    <n v="6"/>
    <n v="2.2000000000000002"/>
    <x v="2"/>
  </r>
  <r>
    <x v="36"/>
    <n v="1080"/>
    <n v="1874"/>
    <x v="1"/>
    <n v="794"/>
    <n v="0.42369263607257202"/>
    <n v="0.42"/>
    <x v="1"/>
    <n v="7"/>
    <n v="4.2"/>
    <x v="1"/>
  </r>
  <r>
    <x v="37"/>
    <n v="1420"/>
    <n v="2420"/>
    <x v="1"/>
    <n v="1000"/>
    <n v="0.41322314049586778"/>
    <n v="0.41"/>
    <x v="1"/>
    <n v="7"/>
    <n v="4.2"/>
    <x v="1"/>
  </r>
  <r>
    <x v="38"/>
    <n v="382"/>
    <n v="700"/>
    <x v="2"/>
    <n v="318"/>
    <n v="0.45428571428571429"/>
    <n v="0.45"/>
    <x v="1"/>
    <n v="17"/>
    <n v="2.6"/>
    <x v="2"/>
  </r>
  <r>
    <x v="39"/>
    <n v="799"/>
    <n v="1567"/>
    <x v="1"/>
    <n v="768"/>
    <n v="0.49010848755583919"/>
    <n v="0.49"/>
    <x v="1"/>
    <n v="7"/>
    <n v="4.2"/>
    <x v="1"/>
  </r>
  <r>
    <x v="40"/>
    <n v="332"/>
    <n v="684"/>
    <x v="2"/>
    <n v="352"/>
    <n v="0.51461988304093564"/>
    <n v="0.51"/>
    <x v="1"/>
    <n v="2"/>
    <n v="5"/>
    <x v="0"/>
  </r>
  <r>
    <x v="41"/>
    <n v="990"/>
    <n v="1814"/>
    <x v="1"/>
    <n v="824"/>
    <n v="0.45424476295479604"/>
    <n v="0.45"/>
    <x v="1"/>
    <n v="6"/>
    <n v="2.2000000000000002"/>
    <x v="2"/>
  </r>
  <r>
    <x v="42"/>
    <n v="525"/>
    <n v="1029"/>
    <x v="1"/>
    <n v="504"/>
    <n v="0.48979591836734693"/>
    <n v="0.49"/>
    <x v="1"/>
    <n v="7"/>
    <n v="4.2"/>
    <x v="1"/>
  </r>
  <r>
    <x v="43"/>
    <n v="610"/>
    <n v="1060"/>
    <x v="1"/>
    <n v="450"/>
    <n v="0.42452830188679247"/>
    <n v="0.42"/>
    <x v="1"/>
    <n v="7"/>
    <n v="4.2"/>
    <x v="1"/>
  </r>
  <r>
    <x v="44"/>
    <n v="979"/>
    <n v="1920"/>
    <x v="1"/>
    <n v="941"/>
    <n v="0.49010416666666667"/>
    <n v="0.49"/>
    <x v="1"/>
    <n v="1"/>
    <n v="5"/>
    <x v="0"/>
  </r>
  <r>
    <x v="45"/>
    <n v="169"/>
    <n v="320"/>
    <x v="2"/>
    <n v="151"/>
    <n v="0.47187499999999999"/>
    <n v="0.47"/>
    <x v="1"/>
    <n v="7"/>
    <n v="4.2"/>
    <x v="1"/>
  </r>
  <r>
    <x v="46"/>
    <n v="299"/>
    <n v="600"/>
    <x v="2"/>
    <n v="301"/>
    <n v="0.50166666666666671"/>
    <n v="0.5"/>
    <x v="1"/>
    <n v="7"/>
    <n v="4.2"/>
    <x v="1"/>
  </r>
  <r>
    <x v="47"/>
    <n v="671"/>
    <n v="1316"/>
    <x v="1"/>
    <n v="645"/>
    <n v="0.49012158054711247"/>
    <n v="0.49"/>
    <x v="1"/>
    <n v="7"/>
    <n v="4.2"/>
    <x v="1"/>
  </r>
  <r>
    <x v="48"/>
    <n v="274"/>
    <n v="537"/>
    <x v="2"/>
    <n v="263"/>
    <n v="0.48975791433891991"/>
    <n v="0.49"/>
    <x v="1"/>
    <n v="7"/>
    <n v="4.2"/>
    <x v="1"/>
  </r>
  <r>
    <x v="49"/>
    <n v="1190"/>
    <n v="1810"/>
    <x v="1"/>
    <n v="620"/>
    <n v="0.34254143646408841"/>
    <n v="0.34"/>
    <x v="0"/>
    <n v="7"/>
    <n v="4.2"/>
    <x v="1"/>
  </r>
  <r>
    <x v="50"/>
    <n v="999"/>
    <n v="2000"/>
    <x v="1"/>
    <n v="1001"/>
    <n v="0.50049999999999994"/>
    <n v="0.5"/>
    <x v="1"/>
    <n v="7"/>
    <n v="4.2"/>
    <x v="1"/>
  </r>
  <r>
    <x v="51"/>
    <n v="699"/>
    <n v="1343"/>
    <x v="1"/>
    <n v="644"/>
    <n v="0.47952345495160087"/>
    <n v="0.48"/>
    <x v="1"/>
    <n v="7"/>
    <n v="4.2"/>
    <x v="1"/>
  </r>
  <r>
    <x v="52"/>
    <n v="171"/>
    <n v="360"/>
    <x v="2"/>
    <n v="189"/>
    <n v="0.52500000000000002"/>
    <n v="0.53"/>
    <x v="1"/>
    <n v="2"/>
    <n v="5"/>
    <x v="0"/>
  </r>
  <r>
    <x v="53"/>
    <n v="199"/>
    <n v="504"/>
    <x v="2"/>
    <n v="305"/>
    <n v="0.60515873015873012"/>
    <n v="0.61"/>
    <x v="1"/>
    <n v="7"/>
    <n v="4.2"/>
    <x v="1"/>
  </r>
  <r>
    <x v="54"/>
    <n v="1732"/>
    <n v="1799"/>
    <x v="0"/>
    <n v="67"/>
    <n v="3.7242912729294052E-2"/>
    <n v="0.04"/>
    <x v="2"/>
    <n v="7"/>
    <n v="4.2"/>
    <x v="1"/>
  </r>
  <r>
    <x v="55"/>
    <n v="799"/>
    <n v="1343"/>
    <x v="1"/>
    <n v="544"/>
    <n v="0.4050632911392405"/>
    <n v="0.41"/>
    <x v="1"/>
    <n v="7"/>
    <n v="4.2"/>
    <x v="1"/>
  </r>
  <r>
    <x v="56"/>
    <n v="988"/>
    <n v="1580"/>
    <x v="1"/>
    <n v="592"/>
    <n v="0.37468354430379747"/>
    <n v="0.37"/>
    <x v="0"/>
    <n v="2"/>
    <n v="4"/>
    <x v="1"/>
  </r>
  <r>
    <x v="57"/>
    <n v="1620"/>
    <n v="2690"/>
    <x v="0"/>
    <n v="1070"/>
    <n v="0.39776951672862454"/>
    <n v="0.4"/>
    <x v="0"/>
    <n v="1"/>
    <n v="5"/>
    <x v="0"/>
  </r>
  <r>
    <x v="58"/>
    <n v="1570"/>
    <n v="2988"/>
    <x v="0"/>
    <n v="1418"/>
    <n v="0.4745649263721553"/>
    <n v="0.47"/>
    <x v="1"/>
    <n v="7"/>
    <n v="2.1"/>
    <x v="2"/>
  </r>
  <r>
    <x v="59"/>
    <n v="420"/>
    <n v="647"/>
    <x v="2"/>
    <n v="227"/>
    <n v="0.3508500772797527"/>
    <n v="0.35"/>
    <x v="0"/>
    <n v="49"/>
    <n v="4.5999999999999996"/>
    <x v="0"/>
  </r>
  <r>
    <x v="60"/>
    <n v="185"/>
    <n v="382"/>
    <x v="2"/>
    <n v="197"/>
    <n v="0.51570680628272247"/>
    <n v="0.52"/>
    <x v="1"/>
    <n v="9"/>
    <n v="4.3"/>
    <x v="0"/>
  </r>
  <r>
    <x v="61"/>
    <n v="1650"/>
    <n v="2150"/>
    <x v="0"/>
    <n v="500"/>
    <n v="0.23255813953488372"/>
    <n v="0.23"/>
    <x v="0"/>
    <n v="14"/>
    <n v="4.4000000000000004"/>
    <x v="0"/>
  </r>
  <r>
    <x v="62"/>
    <n v="799"/>
    <n v="999"/>
    <x v="1"/>
    <n v="200"/>
    <n v="0.20020020020020021"/>
    <n v="0.2"/>
    <x v="0"/>
    <n v="12"/>
    <n v="4.0999999999999996"/>
    <x v="1"/>
  </r>
  <r>
    <x v="63"/>
    <n v="330"/>
    <n v="647"/>
    <x v="2"/>
    <n v="317"/>
    <n v="0.48995363214837712"/>
    <n v="0.49"/>
    <x v="1"/>
    <n v="1"/>
    <n v="4"/>
    <x v="1"/>
  </r>
  <r>
    <x v="64"/>
    <n v="325"/>
    <n v="680"/>
    <x v="2"/>
    <n v="355"/>
    <n v="0.5220588235294118"/>
    <n v="0.52"/>
    <x v="1"/>
    <n v="15"/>
    <n v="2.7"/>
    <x v="2"/>
  </r>
  <r>
    <x v="65"/>
    <n v="3640"/>
    <n v="4588"/>
    <x v="0"/>
    <n v="948"/>
    <n v="0.20662598081952921"/>
    <n v="0.21"/>
    <x v="0"/>
    <n v="1"/>
    <n v="5"/>
    <x v="0"/>
  </r>
  <r>
    <x v="66"/>
    <n v="2300"/>
    <n v="3240"/>
    <x v="0"/>
    <n v="940"/>
    <n v="0.29012345679012347"/>
    <n v="0.28999999999999998"/>
    <x v="0"/>
    <n v="5"/>
    <n v="3"/>
    <x v="2"/>
  </r>
  <r>
    <x v="67"/>
    <n v="2048"/>
    <n v="4500"/>
    <x v="0"/>
    <n v="2452"/>
    <n v="0.54488888888888887"/>
    <n v="0.54"/>
    <x v="1"/>
    <n v="7"/>
    <n v="4.3"/>
    <x v="0"/>
  </r>
  <r>
    <x v="68"/>
    <n v="2025"/>
    <n v="3971"/>
    <x v="0"/>
    <n v="1946"/>
    <n v="0.49005288340468395"/>
    <n v="0.49"/>
    <x v="1"/>
    <n v="3"/>
    <n v="5"/>
    <x v="0"/>
  </r>
  <r>
    <x v="69"/>
    <n v="501"/>
    <n v="860"/>
    <x v="1"/>
    <n v="359"/>
    <n v="0.41744186046511628"/>
    <n v="0.42"/>
    <x v="1"/>
    <n v="6"/>
    <n v="4.5"/>
    <x v="0"/>
  </r>
  <r>
    <x v="70"/>
    <n v="1274"/>
    <n v="2800"/>
    <x v="1"/>
    <n v="1526"/>
    <n v="0.54500000000000004"/>
    <n v="0.55000000000000004"/>
    <x v="1"/>
    <n v="5"/>
    <n v="4.8"/>
    <x v="0"/>
  </r>
  <r>
    <x v="71"/>
    <n v="2750"/>
    <n v="4471"/>
    <x v="0"/>
    <n v="1721"/>
    <n v="0.38492507269067322"/>
    <n v="0.38"/>
    <x v="0"/>
    <n v="7"/>
    <n v="4.2"/>
    <x v="1"/>
  </r>
  <r>
    <x v="72"/>
    <n v="1820"/>
    <n v="3490"/>
    <x v="0"/>
    <n v="1670"/>
    <n v="0.47851002865329512"/>
    <n v="0.48"/>
    <x v="1"/>
    <n v="9"/>
    <n v="4.3"/>
    <x v="0"/>
  </r>
  <r>
    <x v="73"/>
    <n v="880"/>
    <n v="1350"/>
    <x v="1"/>
    <n v="470"/>
    <n v="0.34814814814814815"/>
    <n v="0.35"/>
    <x v="0"/>
    <n v="6"/>
    <n v="4"/>
    <x v="1"/>
  </r>
  <r>
    <x v="74"/>
    <n v="1150"/>
    <n v="1737"/>
    <x v="1"/>
    <n v="587"/>
    <n v="0.3379389752446747"/>
    <n v="0.34"/>
    <x v="0"/>
    <n v="7"/>
    <n v="4.2"/>
    <x v="1"/>
  </r>
  <r>
    <x v="75"/>
    <n v="2999"/>
    <n v="3699"/>
    <x v="0"/>
    <n v="700"/>
    <n v="0.18924033522573669"/>
    <n v="0.19"/>
    <x v="2"/>
    <n v="5"/>
    <n v="4.5999999999999996"/>
    <x v="0"/>
  </r>
  <r>
    <x v="76"/>
    <n v="1189"/>
    <n v="2199"/>
    <x v="1"/>
    <n v="1010"/>
    <n v="0.45929968167348795"/>
    <n v="0.46"/>
    <x v="1"/>
    <n v="1"/>
    <n v="3"/>
    <x v="2"/>
  </r>
  <r>
    <x v="77"/>
    <n v="527"/>
    <n v="999"/>
    <x v="1"/>
    <n v="472"/>
    <n v="0.47247247247247248"/>
    <n v="0.47"/>
    <x v="1"/>
    <n v="14"/>
    <n v="4.0999999999999996"/>
    <x v="1"/>
  </r>
  <r>
    <x v="78"/>
    <n v="3546"/>
    <n v="3699"/>
    <x v="0"/>
    <n v="153"/>
    <n v="4.1362530413625302E-2"/>
    <n v="0.04"/>
    <x v="2"/>
    <n v="7"/>
    <n v="4.2"/>
    <x v="1"/>
  </r>
  <r>
    <x v="79"/>
    <n v="238"/>
    <n v="476"/>
    <x v="2"/>
    <n v="238"/>
    <n v="0.5"/>
    <n v="0.5"/>
    <x v="1"/>
    <n v="7"/>
    <n v="4.2"/>
    <x v="1"/>
  </r>
  <r>
    <x v="80"/>
    <n v="1680"/>
    <n v="2499"/>
    <x v="0"/>
    <n v="819"/>
    <n v="0.32773109243697479"/>
    <n v="0.33"/>
    <x v="0"/>
    <n v="9"/>
    <n v="4.2"/>
    <x v="1"/>
  </r>
  <r>
    <x v="81"/>
    <n v="630"/>
    <n v="1100"/>
    <x v="1"/>
    <n v="470"/>
    <n v="0.42727272727272725"/>
    <n v="0.43"/>
    <x v="1"/>
    <n v="7"/>
    <n v="4.2"/>
    <x v="1"/>
  </r>
  <r>
    <x v="82"/>
    <n v="2200"/>
    <n v="4080"/>
    <x v="0"/>
    <n v="1880"/>
    <n v="0.46078431372549017"/>
    <n v="0.46"/>
    <x v="1"/>
    <n v="7"/>
    <n v="4.2"/>
    <x v="1"/>
  </r>
  <r>
    <x v="83"/>
    <n v="1459"/>
    <n v="1499"/>
    <x v="1"/>
    <n v="40"/>
    <n v="2.6684456304202801E-2"/>
    <n v="0.03"/>
    <x v="2"/>
    <n v="7"/>
    <n v="4.2"/>
    <x v="1"/>
  </r>
  <r>
    <x v="84"/>
    <n v="458"/>
    <n v="986"/>
    <x v="2"/>
    <n v="528"/>
    <n v="0.53549695740365111"/>
    <n v="0.54"/>
    <x v="1"/>
    <n v="10"/>
    <n v="3"/>
    <x v="2"/>
  </r>
  <r>
    <x v="85"/>
    <n v="1466"/>
    <n v="1699"/>
    <x v="1"/>
    <n v="233"/>
    <n v="0.13713949381989404"/>
    <n v="0.14000000000000001"/>
    <x v="2"/>
    <n v="7"/>
    <n v="4.2"/>
    <x v="1"/>
  </r>
  <r>
    <x v="86"/>
    <n v="799"/>
    <n v="900"/>
    <x v="1"/>
    <n v="101"/>
    <n v="0.11222222222222222"/>
    <n v="0.11"/>
    <x v="2"/>
    <n v="7"/>
    <n v="4.2"/>
    <x v="1"/>
  </r>
  <r>
    <x v="87"/>
    <n v="195"/>
    <n v="360"/>
    <x v="2"/>
    <n v="165"/>
    <n v="0.45833333333333331"/>
    <n v="0.46"/>
    <x v="1"/>
    <n v="2"/>
    <n v="5"/>
    <x v="0"/>
  </r>
  <r>
    <x v="88"/>
    <n v="1660"/>
    <n v="1699"/>
    <x v="0"/>
    <n v="39"/>
    <n v="2.2954679223072396E-2"/>
    <n v="0.02"/>
    <x v="2"/>
    <n v="7"/>
    <n v="4.2"/>
    <x v="1"/>
  </r>
  <r>
    <x v="89"/>
    <n v="299"/>
    <n v="384"/>
    <x v="2"/>
    <n v="85"/>
    <n v="0.22135416666666666"/>
    <n v="0.22"/>
    <x v="0"/>
    <n v="7"/>
    <n v="4.2"/>
    <x v="1"/>
  </r>
  <r>
    <x v="90"/>
    <n v="1740"/>
    <n v="2356"/>
    <x v="0"/>
    <n v="616"/>
    <n v="0.26146010186757218"/>
    <n v="0.26"/>
    <x v="0"/>
    <n v="5"/>
    <n v="4.8"/>
    <x v="0"/>
  </r>
  <r>
    <x v="91"/>
    <n v="2199"/>
    <n v="2923"/>
    <x v="0"/>
    <n v="724"/>
    <n v="0.24769072870338693"/>
    <n v="0.25"/>
    <x v="0"/>
    <n v="24"/>
    <n v="4.5999999999999996"/>
    <x v="0"/>
  </r>
  <r>
    <x v="92"/>
    <n v="1462"/>
    <n v="1499"/>
    <x v="1"/>
    <n v="37"/>
    <n v="2.4683122081387593E-2"/>
    <n v="0.02"/>
    <x v="2"/>
    <n v="7"/>
    <n v="4.2"/>
    <x v="1"/>
  </r>
  <r>
    <x v="93"/>
    <n v="2880"/>
    <n v="3520"/>
    <x v="0"/>
    <n v="640"/>
    <n v="0.18181818181818182"/>
    <n v="0.18"/>
    <x v="2"/>
    <n v="12"/>
    <n v="3.8"/>
    <x v="1"/>
  </r>
  <r>
    <x v="94"/>
    <n v="1300"/>
    <n v="2500"/>
    <x v="1"/>
    <n v="1200"/>
    <n v="0.48"/>
    <n v="0.48"/>
    <x v="1"/>
    <n v="7"/>
    <n v="4.2"/>
    <x v="1"/>
  </r>
  <r>
    <x v="95"/>
    <n v="389"/>
    <n v="656"/>
    <x v="2"/>
    <n v="267"/>
    <n v="0.40701219512195119"/>
    <n v="0.41"/>
    <x v="1"/>
    <n v="36"/>
    <n v="4.3"/>
    <x v="0"/>
  </r>
  <r>
    <x v="96"/>
    <n v="105"/>
    <n v="200"/>
    <x v="2"/>
    <n v="95"/>
    <n v="0.47499999999999998"/>
    <n v="0.48"/>
    <x v="1"/>
    <n v="7"/>
    <n v="4.2"/>
    <x v="1"/>
  </r>
  <r>
    <x v="97"/>
    <n v="2132"/>
    <n v="2169"/>
    <x v="0"/>
    <n v="37"/>
    <n v="1.705855232826187E-2"/>
    <n v="0.02"/>
    <x v="2"/>
    <n v="7"/>
    <n v="4.2"/>
    <x v="1"/>
  </r>
  <r>
    <x v="98"/>
    <n v="1658"/>
    <n v="1699"/>
    <x v="0"/>
    <n v="41"/>
    <n v="2.4131842260153032E-2"/>
    <n v="0.02"/>
    <x v="2"/>
    <n v="7"/>
    <n v="4.2"/>
    <x v="1"/>
  </r>
  <r>
    <x v="99"/>
    <n v="499"/>
    <n v="900"/>
    <x v="2"/>
    <n v="401"/>
    <n v="0.44555555555555554"/>
    <n v="0.45"/>
    <x v="1"/>
    <n v="7"/>
    <n v="4.2"/>
    <x v="1"/>
  </r>
  <r>
    <x v="100"/>
    <n v="1768"/>
    <n v="1799"/>
    <x v="0"/>
    <n v="31"/>
    <n v="1.7231795441912175E-2"/>
    <n v="0.02"/>
    <x v="2"/>
    <n v="7"/>
    <n v="4.2"/>
    <x v="1"/>
  </r>
  <r>
    <x v="101"/>
    <n v="1220"/>
    <n v="1555"/>
    <x v="1"/>
    <n v="335"/>
    <n v="0.21543408360128619"/>
    <n v="0.22"/>
    <x v="0"/>
    <n v="16"/>
    <n v="2.9"/>
    <x v="2"/>
  </r>
  <r>
    <x v="102"/>
    <n v="850"/>
    <n v="1700"/>
    <x v="1"/>
    <n v="850"/>
    <n v="0.5"/>
    <n v="0.5"/>
    <x v="1"/>
    <n v="7"/>
    <n v="4.2"/>
    <x v="1"/>
  </r>
  <r>
    <x v="103"/>
    <n v="1526"/>
    <n v="1660"/>
    <x v="0"/>
    <n v="134"/>
    <n v="8.0722891566265054E-2"/>
    <n v="0.08"/>
    <x v="2"/>
    <n v="7"/>
    <n v="4.2"/>
    <x v="1"/>
  </r>
  <r>
    <x v="104"/>
    <n v="450"/>
    <n v="900"/>
    <x v="2"/>
    <n v="450"/>
    <n v="0.5"/>
    <n v="0.5"/>
    <x v="1"/>
    <n v="1"/>
    <n v="2"/>
    <x v="2"/>
  </r>
  <r>
    <x v="105"/>
    <n v="1468"/>
    <n v="1699"/>
    <x v="1"/>
    <n v="231"/>
    <n v="0.13596233078281342"/>
    <n v="0.14000000000000001"/>
    <x v="2"/>
    <n v="7"/>
    <n v="4.2"/>
    <x v="1"/>
  </r>
  <r>
    <x v="106"/>
    <n v="345"/>
    <n v="602"/>
    <x v="2"/>
    <n v="257"/>
    <n v="0.42691029900332228"/>
    <n v="0.43"/>
    <x v="1"/>
    <n v="6"/>
    <n v="2.2999999999999998"/>
    <x v="2"/>
  </r>
  <r>
    <x v="107"/>
    <n v="1580"/>
    <n v="2499"/>
    <x v="0"/>
    <n v="919"/>
    <n v="0.36774709883953582"/>
    <n v="0.37"/>
    <x v="0"/>
    <n v="7"/>
    <n v="4.7"/>
    <x v="0"/>
  </r>
  <r>
    <x v="108"/>
    <n v="509"/>
    <n v="899"/>
    <x v="1"/>
    <n v="390"/>
    <n v="0.43381535038932145"/>
    <n v="0.43"/>
    <x v="1"/>
    <n v="5"/>
    <n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717E5D-CBBE-4446-B617-A494FC9248FB}" name="PivotTable8"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Least Expensive Product">
  <location ref="C6:D7" firstHeaderRow="1" firstDataRow="1" firstDataCol="1"/>
  <pivotFields count="11">
    <pivotField axis="axisRow" showAll="0" measureFilter="1" sortType="a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6"/>
        <item x="47"/>
        <item x="48"/>
        <item x="49"/>
        <item x="50"/>
        <item x="51"/>
        <item x="45"/>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
    <i>
      <x v="20"/>
    </i>
  </rowItems>
  <colItems count="1">
    <i/>
  </colItems>
  <dataFields count="1">
    <dataField name="current_prices" fld="1" baseField="0" baseItem="0"/>
  </dataFields>
  <pivotTableStyleInfo name="PivotStyleLight16" showRowHeaders="1" showColHeaders="1" showRowStripes="0" showColStripes="0" showLastColumn="1"/>
  <filters count="1">
    <filter fld="0" type="count" evalOrder="-1" id="1"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E9F7C-44A8-4E4A-A92D-1C552FB43B07}"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1">
    <pivotField dataField="1"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Total f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28111D-304D-4AEA-BD42-318F6E588D56}" name="PivotTable7"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Most Expensive Product">
  <location ref="C3:D4"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
    <i>
      <x v="16"/>
    </i>
  </rowItems>
  <colItems count="1">
    <i/>
  </colItems>
  <dataFields count="1">
    <dataField name="current_pricee" fld="1" baseField="0" baseItem="16"/>
  </dataField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B23AA-BE67-4409-AD8D-27EFA564FB58}"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Items count="1">
    <i/>
  </rowItems>
  <colItems count="1">
    <i/>
  </colItems>
  <dataFields count="1">
    <dataField name="Average of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865D4E-1603-48FD-B8D2-6E29D8C7ABBE}"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1">
    <pivotField showAll="0"/>
    <pivotField showAll="0"/>
    <pivotField dataField="1"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old_price"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8A0981-343F-4202-93C9-191605654FFC}"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Items count="1">
    <i/>
  </rowItems>
  <colItems count="1">
    <i/>
  </colItems>
  <dataFields count="1">
    <dataField name="Total  review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ACC1F1-8456-4EF8-8345-09417D56772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current_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A39236-C9EC-479D-BCDE-14A1200B8670}"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A10" firstHeaderRow="1" firstDataRow="1" firstDataCol="0"/>
  <pivotFields count="11">
    <pivotField showAll="0"/>
    <pivotField showAll="0"/>
    <pivotField showAll="0"/>
    <pivotField showAll="0">
      <items count="4">
        <item x="0"/>
        <item x="2"/>
        <item x="1"/>
        <item t="default"/>
      </items>
    </pivotField>
    <pivotField showAll="0"/>
    <pivotField dataField="1"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discount_calc" fld="5" subtotal="average" baseField="0" baseItem="0" numFmtId="9"/>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50E8D78-3043-43A4-9386-7DEF568B93DA}" name="PivotTable1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D197" firstHeaderRow="0" firstDataRow="1" firstDataCol="1"/>
  <pivotFields count="11">
    <pivotField axis="axisRow" showAll="0" sortType="a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2"/>
            </reference>
          </references>
        </pivotArea>
      </autoSortScope>
    </pivotField>
    <pivotField showAll="0"/>
    <pivotField showAll="0"/>
    <pivotField showAll="0">
      <items count="4">
        <item x="0"/>
        <item x="2"/>
        <item x="1"/>
        <item t="default"/>
      </items>
    </pivotField>
    <pivotField dataField="1" showAll="0"/>
    <pivotField showAll="0"/>
    <pivotField numFmtId="9" showAll="0"/>
    <pivotField showAll="0">
      <items count="4">
        <item x="1"/>
        <item x="2"/>
        <item x="0"/>
        <item t="default"/>
      </items>
    </pivotField>
    <pivotField dataField="1" showAll="0"/>
    <pivotField dataField="1" showAll="0"/>
    <pivotField showAll="0">
      <items count="4">
        <item x="1"/>
        <item x="0"/>
        <item x="2"/>
        <item t="default"/>
      </items>
    </pivotField>
  </pivotFields>
  <rowFields count="1">
    <field x="0"/>
  </rowFields>
  <rowItems count="110">
    <i>
      <x v="104"/>
    </i>
    <i>
      <x v="30"/>
    </i>
    <i>
      <x v="58"/>
    </i>
    <i>
      <x v="41"/>
    </i>
    <i>
      <x v="35"/>
    </i>
    <i>
      <x v="17"/>
    </i>
    <i>
      <x v="106"/>
    </i>
    <i>
      <x v="25"/>
    </i>
    <i>
      <x v="38"/>
    </i>
    <i>
      <x v="64"/>
    </i>
    <i>
      <x v="5"/>
    </i>
    <i>
      <x v="101"/>
    </i>
    <i>
      <x v="66"/>
    </i>
    <i>
      <x v="76"/>
    </i>
    <i>
      <x v="84"/>
    </i>
    <i>
      <x v="16"/>
    </i>
    <i>
      <x v="108"/>
    </i>
    <i>
      <x v="20"/>
    </i>
    <i>
      <x v="3"/>
    </i>
    <i>
      <x v="93"/>
    </i>
    <i>
      <x v="7"/>
    </i>
    <i>
      <x v="73"/>
    </i>
    <i>
      <x v="63"/>
    </i>
    <i>
      <x v="11"/>
    </i>
    <i>
      <x v="56"/>
    </i>
    <i>
      <x v="26"/>
    </i>
    <i>
      <x v="77"/>
    </i>
    <i>
      <x v="62"/>
    </i>
    <i>
      <x v="54"/>
    </i>
    <i>
      <x v="29"/>
    </i>
    <i>
      <x v="105"/>
    </i>
    <i>
      <x v="9"/>
    </i>
    <i>
      <x v="10"/>
    </i>
    <i>
      <x v="32"/>
    </i>
    <i>
      <x v="71"/>
    </i>
    <i>
      <x v="34"/>
    </i>
    <i>
      <x v="74"/>
    </i>
    <i>
      <x v="37"/>
    </i>
    <i>
      <x v="21"/>
    </i>
    <i>
      <x v="39"/>
    </i>
    <i>
      <x v="78"/>
    </i>
    <i>
      <x v="42"/>
    </i>
    <i>
      <x v="79"/>
    </i>
    <i>
      <x v="45"/>
    </i>
    <i>
      <x v="80"/>
    </i>
    <i>
      <x v="47"/>
    </i>
    <i>
      <x v="81"/>
    </i>
    <i>
      <x v="49"/>
    </i>
    <i>
      <x v="82"/>
    </i>
    <i>
      <x v="51"/>
    </i>
    <i>
      <x v="83"/>
    </i>
    <i>
      <x v="55"/>
    </i>
    <i>
      <x v="23"/>
    </i>
    <i>
      <x v="15"/>
    </i>
    <i>
      <x v="85"/>
    </i>
    <i>
      <x v="19"/>
    </i>
    <i>
      <x v="86"/>
    </i>
    <i>
      <x v="33"/>
    </i>
    <i>
      <x v="88"/>
    </i>
    <i>
      <x v="12"/>
    </i>
    <i>
      <x v="89"/>
    </i>
    <i>
      <x v="43"/>
    </i>
    <i>
      <x v="92"/>
    </i>
    <i>
      <x v="48"/>
    </i>
    <i>
      <x v="24"/>
    </i>
    <i>
      <x v="53"/>
    </i>
    <i>
      <x v="94"/>
    </i>
    <i>
      <x v="6"/>
    </i>
    <i>
      <x v="96"/>
    </i>
    <i>
      <x v="36"/>
    </i>
    <i>
      <x v="97"/>
    </i>
    <i>
      <x v="46"/>
    </i>
    <i>
      <x v="98"/>
    </i>
    <i>
      <x v="14"/>
    </i>
    <i>
      <x v="99"/>
    </i>
    <i>
      <x v="13"/>
    </i>
    <i>
      <x v="100"/>
    </i>
    <i>
      <x v="31"/>
    </i>
    <i>
      <x v="102"/>
    </i>
    <i>
      <x v="50"/>
    </i>
    <i>
      <x v="103"/>
    </i>
    <i>
      <x v="67"/>
    </i>
    <i>
      <x v="72"/>
    </i>
    <i>
      <x v="95"/>
    </i>
    <i>
      <x v="60"/>
    </i>
    <i>
      <x v="61"/>
    </i>
    <i>
      <x v="69"/>
    </i>
    <i>
      <x v="2"/>
    </i>
    <i>
      <x v="27"/>
    </i>
    <i>
      <x/>
    </i>
    <i>
      <x v="8"/>
    </i>
    <i>
      <x v="91"/>
    </i>
    <i>
      <x v="75"/>
    </i>
    <i>
      <x v="18"/>
    </i>
    <i>
      <x v="59"/>
    </i>
    <i>
      <x v="28"/>
    </i>
    <i>
      <x v="1"/>
    </i>
    <i>
      <x v="107"/>
    </i>
    <i>
      <x v="4"/>
    </i>
    <i>
      <x v="70"/>
    </i>
    <i>
      <x v="90"/>
    </i>
    <i>
      <x v="22"/>
    </i>
    <i>
      <x v="68"/>
    </i>
    <i>
      <x v="87"/>
    </i>
    <i>
      <x v="40"/>
    </i>
    <i>
      <x v="57"/>
    </i>
    <i>
      <x v="52"/>
    </i>
    <i>
      <x v="65"/>
    </i>
    <i>
      <x v="44"/>
    </i>
    <i t="grand">
      <x/>
    </i>
  </rowItems>
  <colFields count="1">
    <field x="-2"/>
  </colFields>
  <colItems count="3">
    <i>
      <x/>
    </i>
    <i i="1">
      <x v="1"/>
    </i>
    <i i="2">
      <x v="2"/>
    </i>
  </colItems>
  <dataFields count="3">
    <dataField name="Sum of discount_calc" fld="4" baseField="0" baseItem="0"/>
    <dataField name="Sum of review" fld="8" baseField="0" baseItem="0"/>
    <dataField name="Sum of ratin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9656C0-0263-4454-8A33-694BCE3952F0}" name="PivotTable1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ice_Category">
  <location ref="A8:B12" firstHeaderRow="1" firstDataRow="1" firstDataCol="1"/>
  <pivotFields count="11">
    <pivotField showAll="0"/>
    <pivotField showAll="0"/>
    <pivotField showAll="0"/>
    <pivotField axis="axisRow"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3"/>
  </rowFields>
  <rowItems count="4">
    <i>
      <x/>
    </i>
    <i>
      <x v="1"/>
    </i>
    <i>
      <x v="2"/>
    </i>
    <i t="grand">
      <x/>
    </i>
  </rowItems>
  <colItems count="1">
    <i/>
  </colItems>
  <dataFields count="1">
    <dataField name="%Rating" fld="9" subtotal="average"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3" count="1" selected="0">
            <x v="0"/>
          </reference>
        </references>
      </pivotArea>
    </chartFormat>
    <chartFormat chart="2" format="7">
      <pivotArea type="data" outline="0" fieldPosition="0">
        <references count="2">
          <reference field="4294967294" count="1" selected="0">
            <x v="0"/>
          </reference>
          <reference field="3" count="1" selected="0">
            <x v="1"/>
          </reference>
        </references>
      </pivotArea>
    </chartFormat>
    <chartFormat chart="2" format="8">
      <pivotArea type="data" outline="0" fieldPosition="0">
        <references count="2">
          <reference field="4294967294" count="1" selected="0">
            <x v="0"/>
          </reference>
          <reference field="3" count="1" selected="0">
            <x v="2"/>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279567-8ACE-4EFB-AFDF-ADBF90CD38C0}" name="PivotTable17"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Bottom 5 Products By Rating">
  <location ref="A65:B71"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0"/>
  </rowFields>
  <rowItems count="6">
    <i>
      <x v="35"/>
    </i>
    <i>
      <x v="41"/>
    </i>
    <i>
      <x v="30"/>
    </i>
    <i>
      <x v="58"/>
    </i>
    <i>
      <x v="104"/>
    </i>
    <i t="grand">
      <x/>
    </i>
  </rowItems>
  <colItems count="1">
    <i/>
  </colItems>
  <dataFields count="1">
    <dataField name="Sum of rating"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B0749A-93AB-44C4-8A5F-D19AB2C3E092}" name="PivotTable1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Top 10 Products By Rating">
  <location ref="A52:B63"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Fields count="1">
    <field x="0"/>
  </rowFields>
  <rowItems count="11">
    <i>
      <x v="52"/>
    </i>
    <i>
      <x v="68"/>
    </i>
    <i>
      <x v="65"/>
    </i>
    <i>
      <x v="40"/>
    </i>
    <i>
      <x v="87"/>
    </i>
    <i>
      <x v="44"/>
    </i>
    <i>
      <x v="57"/>
    </i>
    <i>
      <x v="70"/>
    </i>
    <i>
      <x v="90"/>
    </i>
    <i>
      <x v="22"/>
    </i>
    <i t="grand">
      <x/>
    </i>
  </rowItems>
  <colItems count="1">
    <i/>
  </colItems>
  <dataFields count="1">
    <dataField name="Sum of rating"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056DDC3-58DC-4216-BEC6-70779A008E38}" name="PivotTable1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Top 10 Products By Review">
  <location ref="A39:B50"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294E59B-E4F9-419D-BF5A-9B138BC18DB8}" name="PivotTable1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p 10 Products By Discount">
  <location ref="A26:B37"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dataField="1"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1">
    <i>
      <x v="30"/>
    </i>
    <i>
      <x v="67"/>
    </i>
    <i>
      <x v="16"/>
    </i>
    <i>
      <x v="68"/>
    </i>
    <i>
      <x v="82"/>
    </i>
    <i>
      <x v="71"/>
    </i>
    <i>
      <x v="72"/>
    </i>
    <i>
      <x v="70"/>
    </i>
    <i>
      <x v="58"/>
    </i>
    <i>
      <x v="24"/>
    </i>
    <i t="grand">
      <x/>
    </i>
  </rowItems>
  <colItems count="1">
    <i/>
  </colItems>
  <dataFields count="1">
    <dataField name="Sum of discount_calc" fld="4" baseField="0" baseItem="0"/>
  </dataField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1ABF76B-2AAA-4D56-9737-DB9FF6B6D8A9}" name="PivotTable19"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2:B312" firstHeaderRow="1" firstDataRow="1" firstDataCol="1"/>
  <pivotFields count="11">
    <pivotField axis="axisRow" showAll="0"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Fields count="1">
    <field x="0"/>
  </rowFields>
  <rowItems count="110">
    <i>
      <x v="5"/>
    </i>
    <i>
      <x v="8"/>
    </i>
    <i>
      <x v="59"/>
    </i>
    <i>
      <x v="18"/>
    </i>
    <i>
      <x v="1"/>
    </i>
    <i>
      <x v="95"/>
    </i>
    <i>
      <x v="27"/>
    </i>
    <i>
      <x v="91"/>
    </i>
    <i>
      <x v="28"/>
    </i>
    <i>
      <x v="26"/>
    </i>
    <i>
      <x v="38"/>
    </i>
    <i>
      <x v="101"/>
    </i>
    <i>
      <x v="11"/>
    </i>
    <i>
      <x v="64"/>
    </i>
    <i>
      <x v="61"/>
    </i>
    <i>
      <x v="77"/>
    </i>
    <i>
      <x v="30"/>
    </i>
    <i>
      <x v="3"/>
    </i>
    <i>
      <x v="20"/>
    </i>
    <i>
      <x v="62"/>
    </i>
    <i>
      <x v="22"/>
    </i>
    <i>
      <x v="4"/>
    </i>
    <i>
      <x v="93"/>
    </i>
    <i>
      <x v="84"/>
    </i>
    <i>
      <x v="80"/>
    </i>
    <i>
      <x v="60"/>
    </i>
    <i>
      <x v="72"/>
    </i>
    <i>
      <x v="82"/>
    </i>
    <i>
      <x v="23"/>
    </i>
    <i>
      <x v="58"/>
    </i>
    <i>
      <x v="32"/>
    </i>
    <i>
      <x v="78"/>
    </i>
    <i>
      <x v="33"/>
    </i>
    <i>
      <x v="88"/>
    </i>
    <i>
      <x v="34"/>
    </i>
    <i>
      <x v="17"/>
    </i>
    <i>
      <x v="36"/>
    </i>
    <i>
      <x v="67"/>
    </i>
    <i>
      <x v="37"/>
    </i>
    <i>
      <x v="29"/>
    </i>
    <i>
      <x v="10"/>
    </i>
    <i>
      <x v="85"/>
    </i>
    <i>
      <x v="39"/>
    </i>
    <i>
      <x v="12"/>
    </i>
    <i>
      <x v="42"/>
    </i>
    <i>
      <x v="21"/>
    </i>
    <i>
      <x v="43"/>
    </i>
    <i>
      <x v="15"/>
    </i>
    <i>
      <x v="45"/>
    </i>
    <i>
      <x v="24"/>
    </i>
    <i>
      <x v="71"/>
    </i>
    <i>
      <x v="31"/>
    </i>
    <i>
      <x v="74"/>
    </i>
    <i>
      <x v="100"/>
    </i>
    <i>
      <x v="6"/>
    </i>
    <i>
      <x v="102"/>
    </i>
    <i>
      <x v="79"/>
    </i>
    <i>
      <x v="92"/>
    </i>
    <i>
      <x v="81"/>
    </i>
    <i>
      <x v="94"/>
    </i>
    <i>
      <x v="9"/>
    </i>
    <i>
      <x v="83"/>
    </i>
    <i>
      <x v="96"/>
    </i>
    <i>
      <x v="86"/>
    </i>
    <i>
      <x v="98"/>
    </i>
    <i>
      <x v="89"/>
    </i>
    <i>
      <x v="14"/>
    </i>
    <i>
      <x v="19"/>
    </i>
    <i>
      <x v="55"/>
    </i>
    <i>
      <x v="105"/>
    </i>
    <i>
      <x v="13"/>
    </i>
    <i>
      <x v="49"/>
    </i>
    <i>
      <x v="97"/>
    </i>
    <i>
      <x v="50"/>
    </i>
    <i>
      <x v="99"/>
    </i>
    <i>
      <x v="51"/>
    </i>
    <i>
      <x v="53"/>
    </i>
    <i>
      <x v="46"/>
    </i>
    <i>
      <x v="103"/>
    </i>
    <i>
      <x v="47"/>
    </i>
    <i>
      <x v="107"/>
    </i>
    <i>
      <x v="48"/>
    </i>
    <i>
      <x v="54"/>
    </i>
    <i>
      <x v="25"/>
    </i>
    <i>
      <x v="41"/>
    </i>
    <i>
      <x v="106"/>
    </i>
    <i>
      <x v="69"/>
    </i>
    <i>
      <x v="73"/>
    </i>
    <i>
      <x v="35"/>
    </i>
    <i>
      <x v="7"/>
    </i>
    <i>
      <x v="16"/>
    </i>
    <i>
      <x v="66"/>
    </i>
    <i>
      <x v="70"/>
    </i>
    <i>
      <x v="90"/>
    </i>
    <i>
      <x v="108"/>
    </i>
    <i>
      <x v="75"/>
    </i>
    <i>
      <x v="68"/>
    </i>
    <i>
      <x v="40"/>
    </i>
    <i>
      <x v="52"/>
    </i>
    <i>
      <x v="87"/>
    </i>
    <i>
      <x v="56"/>
    </i>
    <i>
      <x v="2"/>
    </i>
    <i>
      <x/>
    </i>
    <i>
      <x v="63"/>
    </i>
    <i>
      <x v="44"/>
    </i>
    <i>
      <x v="57"/>
    </i>
    <i>
      <x v="104"/>
    </i>
    <i>
      <x v="65"/>
    </i>
    <i>
      <x v="76"/>
    </i>
    <i t="grand">
      <x/>
    </i>
  </rowItems>
  <colItems count="1">
    <i/>
  </colItems>
  <dataFields count="1">
    <dataField name="Sum of review"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251023-0914-47D1-A896-86CB415B5494}" name="PivotTable2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iscount Category">
  <location ref="A36:B40" firstHeaderRow="1" firstDataRow="1" firstDataCol="1"/>
  <pivotFields count="11">
    <pivotField showAll="0"/>
    <pivotField showAll="0"/>
    <pivotField showAll="0"/>
    <pivotField showAll="0">
      <items count="4">
        <item x="0"/>
        <item x="2"/>
        <item x="1"/>
        <item t="default"/>
      </items>
    </pivotField>
    <pivotField showAll="0"/>
    <pivotField showAll="0"/>
    <pivotField numFmtId="9"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4">
        <item x="1"/>
        <item x="0"/>
        <item x="2"/>
        <item t="default"/>
      </items>
    </pivotField>
  </pivotFields>
  <rowFields count="1">
    <field x="7"/>
  </rowFields>
  <rowItems count="4">
    <i>
      <x v="1"/>
    </i>
    <i>
      <x/>
    </i>
    <i>
      <x v="2"/>
    </i>
    <i t="grand">
      <x/>
    </i>
  </rowItems>
  <colItems count="1">
    <i/>
  </colItems>
  <dataFields count="1">
    <dataField name="Average of review" fld="8" subtotal="average" baseField="0" baseItem="0"/>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0"/>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1"/>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C100DD-3600-422A-B386-DF5C64C3F2E1}" name="PivotTable2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B32" firstHeaderRow="1" firstDataRow="1" firstDataCol="1"/>
  <pivotFields count="11">
    <pivotField axis="axisRow" showAll="0" measureFilter="1" sortType="descending">
      <items count="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pivotField dataField="1"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0"/>
  </rowFields>
  <rowItems count="11">
    <i>
      <x v="31"/>
    </i>
    <i>
      <x v="53"/>
    </i>
    <i>
      <x v="30"/>
    </i>
    <i>
      <x v="70"/>
    </i>
    <i>
      <x v="67"/>
    </i>
    <i>
      <x v="84"/>
    </i>
    <i>
      <x v="52"/>
    </i>
    <i>
      <x v="20"/>
    </i>
    <i>
      <x v="64"/>
    </i>
    <i>
      <x v="60"/>
    </i>
    <i t="grand">
      <x/>
    </i>
  </rowItems>
  <colItems count="1">
    <i/>
  </colItems>
  <dataFields count="1">
    <dataField name="Sum of %discount_calc"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087003-2DC8-4FD0-A38C-3AC95051FC6F}" name="PivotTable20"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ice_category">
  <location ref="A2:C6" firstHeaderRow="0" firstDataRow="1" firstDataCol="1"/>
  <pivotFields count="11">
    <pivotField showAll="0"/>
    <pivotField showAll="0"/>
    <pivotField showAll="0"/>
    <pivotField axis="axisRow" showAll="0">
      <items count="4">
        <item x="0"/>
        <item x="2"/>
        <item x="1"/>
        <item t="default"/>
      </items>
    </pivotField>
    <pivotField showAll="0"/>
    <pivotField showAll="0"/>
    <pivotField numFmtId="9" showAll="0"/>
    <pivotField showAll="0">
      <items count="4">
        <item x="1"/>
        <item x="2"/>
        <item x="0"/>
        <item t="default"/>
      </items>
    </pivotField>
    <pivotField dataField="1" showAll="0"/>
    <pivotField dataField="1" showAll="0"/>
    <pivotField showAll="0">
      <items count="4">
        <item x="1"/>
        <item x="0"/>
        <item x="2"/>
        <item t="default"/>
      </items>
    </pivotField>
  </pivotFields>
  <rowFields count="1">
    <field x="3"/>
  </rowFields>
  <rowItems count="4">
    <i>
      <x/>
    </i>
    <i>
      <x v="1"/>
    </i>
    <i>
      <x v="2"/>
    </i>
    <i t="grand">
      <x/>
    </i>
  </rowItems>
  <colFields count="1">
    <field x="-2"/>
  </colFields>
  <colItems count="2">
    <i>
      <x/>
    </i>
    <i i="1">
      <x v="1"/>
    </i>
  </colItems>
  <dataFields count="2">
    <dataField name="Average of rating" fld="9" subtotal="average" baseField="0" baseItem="0"/>
    <dataField name="Average of review" fld="8" subtotal="average"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A34AD2-DA80-4AD3-A037-9F24158EC94D}" name="PivotTable2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dataField="1" showAll="0"/>
    <pivotField showAll="0">
      <items count="4">
        <item x="1"/>
        <item x="0"/>
        <item x="2"/>
        <item t="default"/>
      </items>
    </pivotField>
  </pivotFields>
  <rowItems count="1">
    <i/>
  </rowItems>
  <colItems count="1">
    <i/>
  </colItems>
  <dataFields count="1">
    <dataField name="Average of rating"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DD4A244-8F7B-4D9B-8DB7-ECCD85E6DB2D}" name="PivotTable2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1">
    <pivotField showAll="0"/>
    <pivotField showAll="0"/>
    <pivotField showAll="0"/>
    <pivotField showAll="0">
      <items count="4">
        <item x="0"/>
        <item x="2"/>
        <item x="1"/>
        <item t="default"/>
      </items>
    </pivotField>
    <pivotField dataField="1"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discount_calc"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4642EBB-8995-40F9-B03D-2E01C07A0167}" name="PivotTable2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1">
    <pivotField showAll="0"/>
    <pivotField dataField="1"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Average of current_pri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35EBCE1-1308-4DD8-8D60-E989AB8A1CF2}" name="PivotTable2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11">
    <pivotField dataField="1"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Items count="1">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C38D91B-59A2-4BEA-BFBF-29F7EF676F93}" name="PivotTable28"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11">
    <pivotField showAll="0"/>
    <pivotField showAll="0"/>
    <pivotField showAll="0"/>
    <pivotField showAll="0">
      <items count="4">
        <item x="0"/>
        <item x="2"/>
        <item x="1"/>
        <item t="default"/>
      </items>
    </pivotField>
    <pivotField showAll="0"/>
    <pivotField showAll="0"/>
    <pivotField numFmtId="9" showAll="0"/>
    <pivotField showAll="0">
      <items count="4">
        <item x="1"/>
        <item x="2"/>
        <item x="0"/>
        <item t="default"/>
      </items>
    </pivotField>
    <pivotField dataField="1" showAll="0"/>
    <pivotField showAll="0"/>
    <pivotField showAll="0">
      <items count="4">
        <item x="1"/>
        <item x="0"/>
        <item x="2"/>
        <item t="default"/>
      </items>
    </pivotField>
  </pivotFields>
  <rowItems count="1">
    <i/>
  </rowItems>
  <colItems count="1">
    <i/>
  </colItems>
  <dataFields count="1">
    <dataField name="Sum of review"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1A3CCE5-6613-4F21-9045-4D194D9E71B3}" name="PivotTable2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7" firstHeaderRow="1" firstDataRow="1" firstDataCol="1"/>
  <pivotFields count="11">
    <pivotField showAll="0"/>
    <pivotField showAll="0"/>
    <pivotField showAll="0"/>
    <pivotField axis="axisRow" showAll="0">
      <items count="4">
        <item x="0"/>
        <item x="2"/>
        <item x="1"/>
        <item t="default"/>
      </items>
    </pivotField>
    <pivotField showAll="0"/>
    <pivotField showAll="0"/>
    <pivotField numFmtId="9" showAll="0"/>
    <pivotField showAll="0">
      <items count="4">
        <item x="1"/>
        <item x="2"/>
        <item x="0"/>
        <item t="default"/>
      </items>
    </pivotField>
    <pivotField showAll="0"/>
    <pivotField showAll="0"/>
    <pivotField showAll="0">
      <items count="4">
        <item x="1"/>
        <item x="0"/>
        <item x="2"/>
        <item t="default"/>
      </items>
    </pivotField>
  </pivotFields>
  <rowFields count="1">
    <field x="3"/>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5919A55E-0F89-4D42-BD77-5C367EC31B16}" sourceName="price_category">
  <pivotTables>
    <pivotTable tabId="14" name="PivotTable23"/>
    <pivotTable tabId="13" name="PivotTable20"/>
    <pivotTable tabId="13" name="PivotTable21"/>
    <pivotTable tabId="12" name="PivotTable13"/>
    <pivotTable tabId="12" name="PivotTable14"/>
    <pivotTable tabId="12" name="PivotTable15"/>
    <pivotTable tabId="12" name="PivotTable16"/>
    <pivotTable tabId="12" name="PivotTable17"/>
    <pivotTable tabId="12" name="PivotTable18"/>
    <pivotTable tabId="12" name="PivotTable1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6" name="PivotTable23"/>
    <pivotTable tabId="6" name="PivotTable24"/>
    <pivotTable tabId="6" name="PivotTable25"/>
    <pivotTable tabId="6" name="PivotTable26"/>
    <pivotTable tabId="6" name="PivotTable28"/>
    <pivotTable tabId="13" name="PivotTable24"/>
  </pivotTables>
  <data>
    <tabular pivotCacheId="522633294">
      <items count="3">
        <i x="0" s="1"/>
        <i x="2"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23144ED6-0890-44B5-A363-B18DD9B83C49}" sourceName="discount_category">
  <pivotTables>
    <pivotTable tabId="14" name="PivotTable23"/>
    <pivotTable tabId="13" name="PivotTable20"/>
    <pivotTable tabId="13" name="PivotTable21"/>
    <pivotTable tabId="12" name="PivotTable13"/>
    <pivotTable tabId="12" name="PivotTable14"/>
    <pivotTable tabId="12" name="PivotTable15"/>
    <pivotTable tabId="12" name="PivotTable16"/>
    <pivotTable tabId="12" name="PivotTable17"/>
    <pivotTable tabId="12" name="PivotTable18"/>
    <pivotTable tabId="12" name="PivotTable1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6" name="PivotTable23"/>
    <pivotTable tabId="6" name="PivotTable24"/>
    <pivotTable tabId="6" name="PivotTable25"/>
    <pivotTable tabId="6" name="PivotTable26"/>
    <pivotTable tabId="6" name="PivotTable28"/>
    <pivotTable tabId="13" name="PivotTable24"/>
  </pivotTables>
  <data>
    <tabular pivotCacheId="522633294">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C0EAEB93-EC9E-4342-A919-18A06EF99793}" sourceName="rating_category">
  <pivotTables>
    <pivotTable tabId="14" name="PivotTable23"/>
    <pivotTable tabId="13" name="PivotTable20"/>
    <pivotTable tabId="13" name="PivotTable21"/>
    <pivotTable tabId="13" name="PivotTable24"/>
    <pivotTable tabId="12" name="PivotTable13"/>
    <pivotTable tabId="12" name="PivotTable14"/>
    <pivotTable tabId="12" name="PivotTable15"/>
    <pivotTable tabId="12" name="PivotTable16"/>
    <pivotTable tabId="12" name="PivotTable17"/>
    <pivotTable tabId="12" name="PivotTable18"/>
    <pivotTable tabId="12" name="PivotTable19"/>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6" name="PivotTable23"/>
    <pivotTable tabId="6" name="PivotTable24"/>
    <pivotTable tabId="6" name="PivotTable25"/>
    <pivotTable tabId="6" name="PivotTable26"/>
    <pivotTable tabId="6" name="PivotTable28"/>
  </pivotTables>
  <data>
    <tabular pivotCacheId="52263329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_category" xr10:uid="{406694D3-68F1-465F-8E64-494CA56BC281}" cache="Slicer_price_category" caption="price_category" rowHeight="220133"/>
  <slicer name="discount_category" xr10:uid="{0E619848-DA01-4516-AB73-89B825CA533C}" cache="Slicer_discount_category" caption="discount_category" rowHeight="220133"/>
  <slicer name="rating_category" xr10:uid="{077AEE33-92A5-4670-91FF-8E6B0FAA37E2}" cache="Slicer_rating_category" caption="rating_categor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Category" xr10:uid="{EC178BDB-8A72-4287-9CC8-793AF677AA24}" cache="Slicer_price_category" caption="price_category" rowHeight="220133"/>
  <slicer name="discount_category 1" xr10:uid="{E5C0A4A7-2A39-4666-AC62-22806EF6C38A}" cache="Slicer_discount_category" caption="discount_category" rowHeight="220133"/>
  <slicer name="rating_category 1" xr10:uid="{421C251B-06EE-4AD5-B3A8-9A9976568F82}" cache="Slicer_rating_category" caption="rating_categor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BC0431-9773-4FC1-B50B-2517CD854E8E}" name="Table1" displayName="Table1" ref="A1:K110" totalsRowShown="0">
  <autoFilter ref="A1:K110" xr:uid="{B6BC0431-9773-4FC1-B50B-2517CD854E8E}"/>
  <sortState xmlns:xlrd2="http://schemas.microsoft.com/office/spreadsheetml/2017/richdata2" ref="A2:J110">
    <sortCondition ref="A6:A110"/>
  </sortState>
  <tableColumns count="11">
    <tableColumn id="1" xr3:uid="{00C4BA9A-5B8D-4213-A852-8316DC7F2684}" name="product"/>
    <tableColumn id="2" xr3:uid="{35D76893-BBB1-4FDE-A335-4BCC2C3D9F82}" name="current_price"/>
    <tableColumn id="3" xr3:uid="{202F3DA2-C8D8-43F6-9F4B-B9DD3A0EE182}" name="old_price"/>
    <tableColumn id="12" xr3:uid="{6BE69B0F-9FC7-493A-9F9A-EDD92382C07D}" name="price_category" dataDxfId="17">
      <calculatedColumnFormula array="1">_xlfn.IFS(Table1[[#This Row],[current_price]]&lt;=500,"Inexpensive",Table1[[#This Row],[current_price]]&lt;=1500,"Moderate",Table1[[#This Row],[current_price]]&gt;1500,"Expensive")</calculatedColumnFormula>
    </tableColumn>
    <tableColumn id="7" xr3:uid="{3FA1665C-DF02-4E10-B9FB-7E2BD72B0D6C}" name="discount_calc" dataDxfId="16">
      <calculatedColumnFormula>Table1[[#This Row],[old_price]]-Table1[[#This Row],[current_price]]</calculatedColumnFormula>
    </tableColumn>
    <tableColumn id="8" xr3:uid="{6D864D82-DEC1-4229-A4C3-645D4AC4F210}" name="%discount_calc" dataDxfId="15" dataCellStyle="Percent">
      <calculatedColumnFormula>Table1[[#This Row],[discount_calc]]/Table1[[#This Row],[old_price]]</calculatedColumnFormula>
    </tableColumn>
    <tableColumn id="4" xr3:uid="{A9FBE165-1D74-43BE-B550-0C689C1D736B}" name="discount2" dataDxfId="14"/>
    <tableColumn id="10" xr3:uid="{EF465727-95CA-40D6-AB87-73917B7F1292}" name="discount_category" dataDxfId="13">
      <calculatedColumnFormula array="1">_xlfn.IFS(Table1[[#This Row],[%discount_calc]]&lt;20%,"Low",Table1[[#This Row],[%discount_calc]]&lt;=40%,"Medium",Table1[[#This Row],[%discount_calc]]&gt;40%,"High")</calculatedColumnFormula>
    </tableColumn>
    <tableColumn id="5" xr3:uid="{BA013D10-0BB8-4D2A-AA90-2B8F4CE1027F}" name="review"/>
    <tableColumn id="6" xr3:uid="{1661E494-9642-4367-8551-49FEA5D93C41}" name="rating"/>
    <tableColumn id="9" xr3:uid="{635EFC6F-4339-470F-97DF-EAF09C6F34D6}" name="rating_category" dataDxfId="1">
      <calculatedColumnFormula array="1">_xlfn.IFS(Table1[[#This Row],[rating]]&lt;=3,"Poor", Table1[[#This Row],[rating]]&lt;=4.2,"Average", Table1[[#This Row],[rating]]&gt;4.2,"Excellent")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F445C-8CB7-44F0-8B7F-13127EA3B342}">
  <dimension ref="A1:F116"/>
  <sheetViews>
    <sheetView topLeftCell="A16" workbookViewId="0">
      <selection activeCell="F10" sqref="F10"/>
    </sheetView>
  </sheetViews>
  <sheetFormatPr defaultRowHeight="16.5" x14ac:dyDescent="0.5"/>
  <sheetData>
    <row r="1" spans="1:6" x14ac:dyDescent="0.5">
      <c r="A1" t="s">
        <v>0</v>
      </c>
      <c r="B1" t="s">
        <v>1</v>
      </c>
      <c r="C1" t="s">
        <v>2</v>
      </c>
      <c r="D1" t="s">
        <v>3</v>
      </c>
      <c r="E1" t="s">
        <v>4</v>
      </c>
      <c r="F1" t="s">
        <v>5</v>
      </c>
    </row>
    <row r="2" spans="1:6" x14ac:dyDescent="0.5">
      <c r="A2" t="s">
        <v>6</v>
      </c>
      <c r="B2" t="s">
        <v>7</v>
      </c>
      <c r="C2" t="s">
        <v>8</v>
      </c>
      <c r="D2" s="1">
        <v>0.38</v>
      </c>
      <c r="E2">
        <v>-2</v>
      </c>
      <c r="F2" t="s">
        <v>9</v>
      </c>
    </row>
    <row r="3" spans="1:6" x14ac:dyDescent="0.5">
      <c r="A3" t="s">
        <v>10</v>
      </c>
      <c r="B3" t="s">
        <v>11</v>
      </c>
      <c r="C3" t="s">
        <v>12</v>
      </c>
      <c r="D3" s="1">
        <v>0.47</v>
      </c>
      <c r="E3">
        <v>-14</v>
      </c>
      <c r="F3" t="s">
        <v>13</v>
      </c>
    </row>
    <row r="4" spans="1:6" x14ac:dyDescent="0.5">
      <c r="A4" t="s">
        <v>14</v>
      </c>
      <c r="B4" t="s">
        <v>15</v>
      </c>
      <c r="C4" t="s">
        <v>16</v>
      </c>
      <c r="D4" s="1">
        <v>0.25</v>
      </c>
      <c r="E4">
        <v>-24</v>
      </c>
      <c r="F4" t="s">
        <v>17</v>
      </c>
    </row>
    <row r="5" spans="1:6" x14ac:dyDescent="0.5">
      <c r="A5" t="s">
        <v>18</v>
      </c>
      <c r="B5" t="s">
        <v>19</v>
      </c>
      <c r="C5" t="s">
        <v>20</v>
      </c>
      <c r="D5" s="1">
        <v>0.37</v>
      </c>
      <c r="E5">
        <v>-7</v>
      </c>
      <c r="F5" t="s">
        <v>21</v>
      </c>
    </row>
    <row r="6" spans="1:6" x14ac:dyDescent="0.5">
      <c r="A6" t="s">
        <v>22</v>
      </c>
      <c r="B6" t="s">
        <v>23</v>
      </c>
      <c r="C6" t="s">
        <v>24</v>
      </c>
      <c r="D6" s="1">
        <v>0.26</v>
      </c>
      <c r="E6">
        <v>-5</v>
      </c>
      <c r="F6" t="s">
        <v>25</v>
      </c>
    </row>
    <row r="7" spans="1:6" x14ac:dyDescent="0.5">
      <c r="A7" t="s">
        <v>26</v>
      </c>
      <c r="B7" t="s">
        <v>27</v>
      </c>
      <c r="C7" t="s">
        <v>28</v>
      </c>
      <c r="D7" s="1">
        <v>0.09</v>
      </c>
      <c r="E7">
        <v>-15</v>
      </c>
      <c r="F7" t="s">
        <v>29</v>
      </c>
    </row>
    <row r="8" spans="1:6" x14ac:dyDescent="0.5">
      <c r="A8" t="s">
        <v>30</v>
      </c>
      <c r="B8" t="s">
        <v>31</v>
      </c>
      <c r="C8" t="s">
        <v>32</v>
      </c>
      <c r="D8" s="1">
        <v>0.24</v>
      </c>
      <c r="E8">
        <v>-55</v>
      </c>
      <c r="F8" t="s">
        <v>17</v>
      </c>
    </row>
    <row r="9" spans="1:6" x14ac:dyDescent="0.5">
      <c r="A9" t="s">
        <v>33</v>
      </c>
      <c r="B9" t="s">
        <v>34</v>
      </c>
      <c r="C9" t="s">
        <v>19</v>
      </c>
      <c r="D9" s="1">
        <v>0.37</v>
      </c>
      <c r="E9">
        <v>-2</v>
      </c>
      <c r="F9" t="s">
        <v>29</v>
      </c>
    </row>
    <row r="10" spans="1:6" x14ac:dyDescent="0.5">
      <c r="A10" t="s">
        <v>35</v>
      </c>
      <c r="B10" t="s">
        <v>36</v>
      </c>
      <c r="C10" t="s">
        <v>37</v>
      </c>
      <c r="D10" s="1">
        <v>0.55000000000000004</v>
      </c>
      <c r="E10">
        <v>-5</v>
      </c>
      <c r="F10" t="s">
        <v>25</v>
      </c>
    </row>
    <row r="11" spans="1:6" x14ac:dyDescent="0.5">
      <c r="A11" t="s">
        <v>38</v>
      </c>
      <c r="B11" t="s">
        <v>39</v>
      </c>
      <c r="C11" t="s">
        <v>40</v>
      </c>
      <c r="D11" s="1">
        <v>0.45</v>
      </c>
      <c r="E11">
        <v>-5</v>
      </c>
      <c r="F11" t="s">
        <v>41</v>
      </c>
    </row>
    <row r="12" spans="1:6" x14ac:dyDescent="0.5">
      <c r="A12" t="s">
        <v>42</v>
      </c>
      <c r="B12" t="s">
        <v>43</v>
      </c>
      <c r="C12" t="s">
        <v>12</v>
      </c>
      <c r="D12" s="1">
        <v>0.2</v>
      </c>
      <c r="E12">
        <v>-12</v>
      </c>
      <c r="F12" t="s">
        <v>13</v>
      </c>
    </row>
    <row r="13" spans="1:6" x14ac:dyDescent="0.5">
      <c r="A13" t="s">
        <v>44</v>
      </c>
      <c r="B13" t="s">
        <v>45</v>
      </c>
      <c r="C13" t="s">
        <v>46</v>
      </c>
      <c r="D13" s="1">
        <v>0.34</v>
      </c>
      <c r="E13">
        <v>-39</v>
      </c>
      <c r="F13" t="s">
        <v>21</v>
      </c>
    </row>
    <row r="14" spans="1:6" x14ac:dyDescent="0.5">
      <c r="A14" t="s">
        <v>47</v>
      </c>
      <c r="B14" t="s">
        <v>48</v>
      </c>
      <c r="C14" t="s">
        <v>49</v>
      </c>
      <c r="D14" s="1">
        <v>0.47</v>
      </c>
      <c r="E14">
        <v>-12</v>
      </c>
      <c r="F14" t="s">
        <v>25</v>
      </c>
    </row>
    <row r="15" spans="1:6" x14ac:dyDescent="0.5">
      <c r="A15" t="s">
        <v>50</v>
      </c>
      <c r="B15" t="s">
        <v>51</v>
      </c>
      <c r="C15" t="s">
        <v>52</v>
      </c>
      <c r="D15" s="1">
        <v>0.42</v>
      </c>
      <c r="E15">
        <v>-6</v>
      </c>
      <c r="F15" t="s">
        <v>9</v>
      </c>
    </row>
    <row r="16" spans="1:6" x14ac:dyDescent="0.5">
      <c r="A16" t="s">
        <v>53</v>
      </c>
      <c r="B16" t="s">
        <v>54</v>
      </c>
      <c r="C16" t="s">
        <v>20</v>
      </c>
      <c r="D16" s="1">
        <v>0.33</v>
      </c>
      <c r="E16">
        <v>-9</v>
      </c>
      <c r="F16" t="s">
        <v>55</v>
      </c>
    </row>
    <row r="17" spans="1:6" x14ac:dyDescent="0.5">
      <c r="A17" t="s">
        <v>56</v>
      </c>
      <c r="B17" t="s">
        <v>57</v>
      </c>
      <c r="C17" t="s">
        <v>58</v>
      </c>
      <c r="D17" s="1">
        <v>0.51</v>
      </c>
      <c r="E17">
        <v>-2</v>
      </c>
      <c r="F17" t="s">
        <v>59</v>
      </c>
    </row>
    <row r="18" spans="1:6" x14ac:dyDescent="0.5">
      <c r="A18" t="s">
        <v>60</v>
      </c>
      <c r="B18" t="s">
        <v>61</v>
      </c>
      <c r="C18" t="s">
        <v>62</v>
      </c>
      <c r="D18" s="1">
        <v>0.46</v>
      </c>
      <c r="E18">
        <v>-2</v>
      </c>
      <c r="F18" t="s">
        <v>59</v>
      </c>
    </row>
    <row r="19" spans="1:6" x14ac:dyDescent="0.5">
      <c r="A19" t="s">
        <v>63</v>
      </c>
      <c r="B19" t="s">
        <v>64</v>
      </c>
      <c r="C19" t="s">
        <v>65</v>
      </c>
      <c r="D19" s="1">
        <v>0.49</v>
      </c>
      <c r="E19">
        <v>-3</v>
      </c>
      <c r="F19" t="s">
        <v>59</v>
      </c>
    </row>
    <row r="20" spans="1:6" x14ac:dyDescent="0.5">
      <c r="A20" t="s">
        <v>66</v>
      </c>
      <c r="B20" t="s">
        <v>27</v>
      </c>
      <c r="C20" t="s">
        <v>67</v>
      </c>
      <c r="D20" s="1">
        <v>0.19</v>
      </c>
      <c r="E20">
        <v>-5</v>
      </c>
      <c r="F20" t="s">
        <v>17</v>
      </c>
    </row>
    <row r="21" spans="1:6" x14ac:dyDescent="0.5">
      <c r="A21" t="s">
        <v>68</v>
      </c>
      <c r="B21" t="s">
        <v>69</v>
      </c>
      <c r="C21" t="s">
        <v>70</v>
      </c>
      <c r="D21" s="1">
        <v>0.49</v>
      </c>
      <c r="E21">
        <v>-44</v>
      </c>
      <c r="F21" t="s">
        <v>17</v>
      </c>
    </row>
    <row r="22" spans="1:6" x14ac:dyDescent="0.5">
      <c r="A22" t="s">
        <v>71</v>
      </c>
      <c r="B22" t="s">
        <v>72</v>
      </c>
      <c r="C22" t="s">
        <v>73</v>
      </c>
      <c r="D22" s="1">
        <v>0.53</v>
      </c>
      <c r="E22">
        <v>-13</v>
      </c>
      <c r="F22" t="s">
        <v>74</v>
      </c>
    </row>
    <row r="23" spans="1:6" x14ac:dyDescent="0.5">
      <c r="A23" t="s">
        <v>75</v>
      </c>
      <c r="B23" t="s">
        <v>76</v>
      </c>
      <c r="C23" t="s">
        <v>77</v>
      </c>
      <c r="D23" s="1">
        <v>0.42</v>
      </c>
    </row>
    <row r="24" spans="1:6" x14ac:dyDescent="0.5">
      <c r="A24" t="s">
        <v>78</v>
      </c>
      <c r="B24" t="s">
        <v>79</v>
      </c>
      <c r="C24" t="s">
        <v>80</v>
      </c>
      <c r="D24" s="1">
        <v>0.35</v>
      </c>
      <c r="E24">
        <v>-6</v>
      </c>
      <c r="F24" t="s">
        <v>29</v>
      </c>
    </row>
    <row r="25" spans="1:6" x14ac:dyDescent="0.5">
      <c r="A25" t="s">
        <v>81</v>
      </c>
      <c r="B25" t="s">
        <v>82</v>
      </c>
      <c r="C25" t="s">
        <v>83</v>
      </c>
      <c r="D25" s="1">
        <v>0.23</v>
      </c>
      <c r="E25">
        <v>-14</v>
      </c>
      <c r="F25" t="s">
        <v>84</v>
      </c>
    </row>
    <row r="26" spans="1:6" x14ac:dyDescent="0.5">
      <c r="A26" t="s">
        <v>85</v>
      </c>
      <c r="B26" t="s">
        <v>86</v>
      </c>
      <c r="C26" t="s">
        <v>87</v>
      </c>
      <c r="D26" s="1">
        <v>0.54</v>
      </c>
      <c r="E26">
        <v>-7</v>
      </c>
      <c r="F26" t="s">
        <v>88</v>
      </c>
    </row>
    <row r="27" spans="1:6" x14ac:dyDescent="0.5">
      <c r="A27" t="s">
        <v>89</v>
      </c>
      <c r="B27" t="s">
        <v>90</v>
      </c>
      <c r="C27" t="s">
        <v>91</v>
      </c>
      <c r="D27" s="1">
        <v>0.35</v>
      </c>
      <c r="E27">
        <v>-49</v>
      </c>
      <c r="F27" t="s">
        <v>17</v>
      </c>
    </row>
    <row r="28" spans="1:6" x14ac:dyDescent="0.5">
      <c r="A28" t="s">
        <v>92</v>
      </c>
      <c r="B28" t="s">
        <v>93</v>
      </c>
      <c r="C28" t="s">
        <v>94</v>
      </c>
      <c r="D28" s="1">
        <v>0.18</v>
      </c>
      <c r="E28">
        <v>-12</v>
      </c>
      <c r="F28" t="s">
        <v>41</v>
      </c>
    </row>
    <row r="29" spans="1:6" x14ac:dyDescent="0.5">
      <c r="A29" t="s">
        <v>95</v>
      </c>
      <c r="B29" t="s">
        <v>80</v>
      </c>
      <c r="C29" t="s">
        <v>96</v>
      </c>
      <c r="D29" s="1">
        <v>0.32</v>
      </c>
      <c r="E29">
        <v>-13</v>
      </c>
      <c r="F29" t="s">
        <v>41</v>
      </c>
    </row>
    <row r="30" spans="1:6" x14ac:dyDescent="0.5">
      <c r="A30" t="s">
        <v>97</v>
      </c>
      <c r="B30" t="s">
        <v>98</v>
      </c>
      <c r="C30" t="s">
        <v>20</v>
      </c>
      <c r="D30" s="1">
        <v>0.3</v>
      </c>
      <c r="E30">
        <v>-20</v>
      </c>
      <c r="F30" t="s">
        <v>13</v>
      </c>
    </row>
    <row r="31" spans="1:6" x14ac:dyDescent="0.5">
      <c r="A31" t="s">
        <v>99</v>
      </c>
      <c r="B31" t="s">
        <v>100</v>
      </c>
      <c r="C31" t="s">
        <v>101</v>
      </c>
      <c r="D31" s="1">
        <v>0.46</v>
      </c>
    </row>
    <row r="32" spans="1:6" x14ac:dyDescent="0.5">
      <c r="A32" t="s">
        <v>102</v>
      </c>
      <c r="B32" t="s">
        <v>103</v>
      </c>
      <c r="C32" t="s">
        <v>104</v>
      </c>
      <c r="D32" s="1">
        <v>0.52</v>
      </c>
      <c r="E32">
        <v>-9</v>
      </c>
      <c r="F32" t="s">
        <v>88</v>
      </c>
    </row>
    <row r="33" spans="1:6" x14ac:dyDescent="0.5">
      <c r="A33" t="s">
        <v>105</v>
      </c>
      <c r="B33" t="s">
        <v>106</v>
      </c>
      <c r="C33" t="s">
        <v>107</v>
      </c>
      <c r="D33" s="1">
        <v>0.34</v>
      </c>
      <c r="E33">
        <v>-12</v>
      </c>
      <c r="F33" t="s">
        <v>21</v>
      </c>
    </row>
    <row r="34" spans="1:6" x14ac:dyDescent="0.5">
      <c r="A34" t="s">
        <v>108</v>
      </c>
      <c r="B34" t="s">
        <v>109</v>
      </c>
      <c r="C34" t="s">
        <v>110</v>
      </c>
      <c r="D34" s="1">
        <v>0.48</v>
      </c>
      <c r="E34">
        <v>-9</v>
      </c>
      <c r="F34" t="s">
        <v>88</v>
      </c>
    </row>
    <row r="35" spans="1:6" x14ac:dyDescent="0.5">
      <c r="A35" t="s">
        <v>111</v>
      </c>
      <c r="B35" t="s">
        <v>112</v>
      </c>
      <c r="C35" t="s">
        <v>113</v>
      </c>
      <c r="D35" s="1">
        <v>0.27</v>
      </c>
      <c r="E35">
        <v>-20</v>
      </c>
      <c r="F35" t="s">
        <v>21</v>
      </c>
    </row>
    <row r="36" spans="1:6" x14ac:dyDescent="0.5">
      <c r="A36" t="s">
        <v>114</v>
      </c>
      <c r="B36" t="s">
        <v>115</v>
      </c>
      <c r="C36" t="s">
        <v>116</v>
      </c>
      <c r="D36" s="1">
        <v>0.27</v>
      </c>
      <c r="E36">
        <v>-32</v>
      </c>
      <c r="F36" t="s">
        <v>9</v>
      </c>
    </row>
    <row r="37" spans="1:6" x14ac:dyDescent="0.5">
      <c r="A37" t="s">
        <v>117</v>
      </c>
      <c r="B37" t="s">
        <v>118</v>
      </c>
      <c r="C37" t="s">
        <v>119</v>
      </c>
      <c r="D37" s="1">
        <v>0.4</v>
      </c>
      <c r="E37">
        <v>-1</v>
      </c>
      <c r="F37" t="s">
        <v>59</v>
      </c>
    </row>
    <row r="38" spans="1:6" x14ac:dyDescent="0.5">
      <c r="A38" t="s">
        <v>120</v>
      </c>
      <c r="B38" t="s">
        <v>121</v>
      </c>
      <c r="C38" t="s">
        <v>62</v>
      </c>
      <c r="D38" s="1">
        <v>0.53</v>
      </c>
      <c r="E38">
        <v>-2</v>
      </c>
      <c r="F38" t="s">
        <v>59</v>
      </c>
    </row>
    <row r="39" spans="1:6" x14ac:dyDescent="0.5">
      <c r="A39" t="s">
        <v>122</v>
      </c>
      <c r="B39" t="s">
        <v>123</v>
      </c>
      <c r="C39" t="s">
        <v>124</v>
      </c>
      <c r="D39" s="1">
        <v>0.41</v>
      </c>
      <c r="E39">
        <v>-36</v>
      </c>
      <c r="F39" t="s">
        <v>88</v>
      </c>
    </row>
    <row r="40" spans="1:6" x14ac:dyDescent="0.5">
      <c r="A40" t="s">
        <v>125</v>
      </c>
      <c r="B40" t="s">
        <v>126</v>
      </c>
      <c r="C40" t="s">
        <v>127</v>
      </c>
      <c r="D40" s="1">
        <v>0.38</v>
      </c>
      <c r="E40">
        <v>-2</v>
      </c>
      <c r="F40" t="s">
        <v>9</v>
      </c>
    </row>
    <row r="41" spans="1:6" x14ac:dyDescent="0.5">
      <c r="A41" t="s">
        <v>128</v>
      </c>
      <c r="B41" t="s">
        <v>129</v>
      </c>
      <c r="C41" t="s">
        <v>130</v>
      </c>
      <c r="D41" s="1">
        <v>0.38</v>
      </c>
    </row>
    <row r="42" spans="1:6" x14ac:dyDescent="0.5">
      <c r="A42" t="s">
        <v>131</v>
      </c>
      <c r="B42" t="s">
        <v>132</v>
      </c>
      <c r="C42" t="s">
        <v>133</v>
      </c>
      <c r="D42" s="1">
        <v>0.49</v>
      </c>
    </row>
    <row r="43" spans="1:6" x14ac:dyDescent="0.5">
      <c r="A43" t="s">
        <v>134</v>
      </c>
      <c r="B43" t="s">
        <v>135</v>
      </c>
      <c r="C43" t="s">
        <v>136</v>
      </c>
      <c r="D43" s="1">
        <v>0.5</v>
      </c>
    </row>
    <row r="44" spans="1:6" x14ac:dyDescent="0.5">
      <c r="A44" t="s">
        <v>137</v>
      </c>
      <c r="B44" t="s">
        <v>138</v>
      </c>
      <c r="C44" t="s">
        <v>139</v>
      </c>
      <c r="D44" s="1">
        <v>0.42</v>
      </c>
    </row>
    <row r="45" spans="1:6" x14ac:dyDescent="0.5">
      <c r="A45" t="s">
        <v>137</v>
      </c>
      <c r="B45" t="s">
        <v>138</v>
      </c>
      <c r="C45" t="s">
        <v>139</v>
      </c>
      <c r="D45" s="1">
        <v>0.42</v>
      </c>
    </row>
    <row r="46" spans="1:6" x14ac:dyDescent="0.5">
      <c r="A46" t="s">
        <v>140</v>
      </c>
      <c r="B46" t="s">
        <v>141</v>
      </c>
      <c r="C46" t="s">
        <v>142</v>
      </c>
      <c r="D46" s="1">
        <v>0.02</v>
      </c>
    </row>
    <row r="47" spans="1:6" x14ac:dyDescent="0.5">
      <c r="A47" t="s">
        <v>143</v>
      </c>
      <c r="B47" t="s">
        <v>12</v>
      </c>
      <c r="C47" t="s">
        <v>144</v>
      </c>
      <c r="D47" s="1">
        <v>0.5</v>
      </c>
    </row>
    <row r="48" spans="1:6" x14ac:dyDescent="0.5">
      <c r="A48" t="s">
        <v>145</v>
      </c>
      <c r="B48" t="s">
        <v>146</v>
      </c>
      <c r="C48" t="s">
        <v>147</v>
      </c>
      <c r="D48" s="1">
        <v>0.33</v>
      </c>
    </row>
    <row r="49" spans="1:6" x14ac:dyDescent="0.5">
      <c r="A49" t="s">
        <v>148</v>
      </c>
      <c r="B49" t="s">
        <v>149</v>
      </c>
      <c r="C49" t="s">
        <v>150</v>
      </c>
      <c r="D49" s="1">
        <v>0.49</v>
      </c>
    </row>
    <row r="50" spans="1:6" x14ac:dyDescent="0.5">
      <c r="A50" t="s">
        <v>151</v>
      </c>
      <c r="B50" t="s">
        <v>152</v>
      </c>
      <c r="C50" t="s">
        <v>153</v>
      </c>
      <c r="D50" s="1">
        <v>0.38</v>
      </c>
    </row>
    <row r="51" spans="1:6" x14ac:dyDescent="0.5">
      <c r="A51" t="s">
        <v>154</v>
      </c>
      <c r="B51" t="s">
        <v>155</v>
      </c>
      <c r="C51" t="s">
        <v>156</v>
      </c>
      <c r="D51" s="1">
        <v>0.61</v>
      </c>
    </row>
    <row r="52" spans="1:6" x14ac:dyDescent="0.5">
      <c r="A52" t="s">
        <v>157</v>
      </c>
      <c r="B52" t="s">
        <v>158</v>
      </c>
      <c r="C52" t="s">
        <v>159</v>
      </c>
      <c r="D52" s="1">
        <v>0.5</v>
      </c>
    </row>
    <row r="53" spans="1:6" x14ac:dyDescent="0.5">
      <c r="A53" t="s">
        <v>160</v>
      </c>
      <c r="B53" t="s">
        <v>161</v>
      </c>
      <c r="C53" t="s">
        <v>162</v>
      </c>
      <c r="D53" s="1">
        <v>0.02</v>
      </c>
    </row>
    <row r="54" spans="1:6" x14ac:dyDescent="0.5">
      <c r="A54" t="s">
        <v>163</v>
      </c>
      <c r="B54" t="s">
        <v>158</v>
      </c>
      <c r="C54" t="s">
        <v>164</v>
      </c>
      <c r="D54" s="1">
        <v>0.22</v>
      </c>
    </row>
    <row r="55" spans="1:6" x14ac:dyDescent="0.5">
      <c r="A55" t="s">
        <v>165</v>
      </c>
      <c r="B55" t="s">
        <v>166</v>
      </c>
      <c r="C55" t="s">
        <v>167</v>
      </c>
      <c r="D55" s="1">
        <v>0.03</v>
      </c>
    </row>
    <row r="56" spans="1:6" x14ac:dyDescent="0.5">
      <c r="A56" t="s">
        <v>168</v>
      </c>
      <c r="B56" t="s">
        <v>43</v>
      </c>
      <c r="C56" t="s">
        <v>169</v>
      </c>
      <c r="D56" s="1">
        <v>0.41</v>
      </c>
    </row>
    <row r="57" spans="1:6" x14ac:dyDescent="0.5">
      <c r="A57" t="s">
        <v>170</v>
      </c>
      <c r="B57" t="s">
        <v>171</v>
      </c>
      <c r="C57" t="s">
        <v>172</v>
      </c>
      <c r="D57" s="1">
        <v>0.45</v>
      </c>
    </row>
    <row r="58" spans="1:6" x14ac:dyDescent="0.5">
      <c r="A58" t="s">
        <v>173</v>
      </c>
      <c r="B58" t="s">
        <v>174</v>
      </c>
      <c r="C58" t="s">
        <v>169</v>
      </c>
      <c r="D58" s="1">
        <v>0.48</v>
      </c>
    </row>
    <row r="59" spans="1:6" x14ac:dyDescent="0.5">
      <c r="A59" t="s">
        <v>175</v>
      </c>
      <c r="B59" t="s">
        <v>43</v>
      </c>
      <c r="C59" t="s">
        <v>176</v>
      </c>
      <c r="D59" s="1">
        <v>0.49</v>
      </c>
    </row>
    <row r="60" spans="1:6" x14ac:dyDescent="0.5">
      <c r="A60" t="s">
        <v>177</v>
      </c>
      <c r="B60" t="s">
        <v>178</v>
      </c>
      <c r="C60" t="s">
        <v>179</v>
      </c>
      <c r="D60" s="1">
        <v>0.27</v>
      </c>
    </row>
    <row r="61" spans="1:6" x14ac:dyDescent="0.5">
      <c r="A61" t="s">
        <v>170</v>
      </c>
      <c r="B61" t="s">
        <v>180</v>
      </c>
      <c r="C61" t="s">
        <v>181</v>
      </c>
      <c r="D61" s="1">
        <v>0.55000000000000004</v>
      </c>
    </row>
    <row r="62" spans="1:6" x14ac:dyDescent="0.5">
      <c r="A62" t="s">
        <v>182</v>
      </c>
      <c r="B62" t="s">
        <v>183</v>
      </c>
      <c r="C62" t="s">
        <v>184</v>
      </c>
      <c r="D62" s="1">
        <v>0.13</v>
      </c>
      <c r="E62">
        <v>-6</v>
      </c>
      <c r="F62" t="s">
        <v>185</v>
      </c>
    </row>
    <row r="63" spans="1:6" x14ac:dyDescent="0.5">
      <c r="A63" t="s">
        <v>186</v>
      </c>
      <c r="B63" t="s">
        <v>187</v>
      </c>
      <c r="C63" t="s">
        <v>188</v>
      </c>
      <c r="D63" s="1">
        <v>0.54</v>
      </c>
      <c r="E63">
        <v>-10</v>
      </c>
      <c r="F63" t="s">
        <v>189</v>
      </c>
    </row>
    <row r="64" spans="1:6" x14ac:dyDescent="0.5">
      <c r="A64" t="s">
        <v>190</v>
      </c>
      <c r="B64" t="s">
        <v>191</v>
      </c>
      <c r="C64" t="s">
        <v>192</v>
      </c>
      <c r="D64" s="1">
        <v>0.55000000000000004</v>
      </c>
      <c r="E64">
        <v>-13</v>
      </c>
      <c r="F64" t="s">
        <v>193</v>
      </c>
    </row>
    <row r="65" spans="1:6" x14ac:dyDescent="0.5">
      <c r="A65" t="s">
        <v>194</v>
      </c>
      <c r="B65" t="s">
        <v>195</v>
      </c>
      <c r="C65" t="s">
        <v>196</v>
      </c>
      <c r="D65" s="1">
        <v>0.49</v>
      </c>
      <c r="E65">
        <v>-69</v>
      </c>
      <c r="F65" t="s">
        <v>197</v>
      </c>
    </row>
    <row r="66" spans="1:6" x14ac:dyDescent="0.5">
      <c r="A66" t="s">
        <v>198</v>
      </c>
      <c r="B66" t="s">
        <v>199</v>
      </c>
      <c r="C66" t="s">
        <v>200</v>
      </c>
      <c r="D66" s="1">
        <v>0.52</v>
      </c>
      <c r="E66">
        <v>-15</v>
      </c>
      <c r="F66" t="s">
        <v>201</v>
      </c>
    </row>
    <row r="67" spans="1:6" x14ac:dyDescent="0.5">
      <c r="A67" t="s">
        <v>202</v>
      </c>
      <c r="B67" t="s">
        <v>203</v>
      </c>
      <c r="C67" t="s">
        <v>204</v>
      </c>
      <c r="D67" s="1">
        <v>0.22</v>
      </c>
      <c r="E67">
        <v>-16</v>
      </c>
      <c r="F67" t="s">
        <v>205</v>
      </c>
    </row>
    <row r="68" spans="1:6" x14ac:dyDescent="0.5">
      <c r="A68" t="s">
        <v>206</v>
      </c>
      <c r="B68" t="s">
        <v>45</v>
      </c>
      <c r="C68" t="s">
        <v>207</v>
      </c>
      <c r="D68" s="1">
        <v>0.45</v>
      </c>
      <c r="E68">
        <v>-6</v>
      </c>
      <c r="F68" t="s">
        <v>208</v>
      </c>
    </row>
    <row r="69" spans="1:6" x14ac:dyDescent="0.5">
      <c r="A69" t="s">
        <v>209</v>
      </c>
      <c r="B69" t="s">
        <v>210</v>
      </c>
      <c r="C69" t="s">
        <v>144</v>
      </c>
      <c r="D69" s="1">
        <v>0.5</v>
      </c>
      <c r="E69">
        <v>-7</v>
      </c>
      <c r="F69" t="s">
        <v>211</v>
      </c>
    </row>
    <row r="70" spans="1:6" x14ac:dyDescent="0.5">
      <c r="A70" t="s">
        <v>212</v>
      </c>
      <c r="B70" t="s">
        <v>213</v>
      </c>
      <c r="C70" t="s">
        <v>214</v>
      </c>
      <c r="D70" s="1">
        <v>0.39</v>
      </c>
      <c r="E70">
        <v>-5</v>
      </c>
      <c r="F70" t="s">
        <v>189</v>
      </c>
    </row>
    <row r="71" spans="1:6" x14ac:dyDescent="0.5">
      <c r="A71" t="s">
        <v>215</v>
      </c>
      <c r="B71" t="s">
        <v>104</v>
      </c>
      <c r="C71" t="s">
        <v>216</v>
      </c>
      <c r="D71" s="1">
        <v>0.45</v>
      </c>
      <c r="E71">
        <v>-17</v>
      </c>
      <c r="F71" t="s">
        <v>217</v>
      </c>
    </row>
    <row r="72" spans="1:6" x14ac:dyDescent="0.5">
      <c r="A72" t="s">
        <v>218</v>
      </c>
      <c r="B72" t="s">
        <v>219</v>
      </c>
      <c r="C72" t="s">
        <v>220</v>
      </c>
      <c r="D72" s="1">
        <v>0.28999999999999998</v>
      </c>
      <c r="E72">
        <v>-5</v>
      </c>
      <c r="F72" t="s">
        <v>189</v>
      </c>
    </row>
    <row r="73" spans="1:6" x14ac:dyDescent="0.5">
      <c r="A73" t="s">
        <v>221</v>
      </c>
      <c r="B73" t="s">
        <v>222</v>
      </c>
      <c r="C73" t="s">
        <v>223</v>
      </c>
      <c r="D73" s="1">
        <v>0.43</v>
      </c>
      <c r="E73">
        <v>-6</v>
      </c>
      <c r="F73" t="s">
        <v>211</v>
      </c>
    </row>
    <row r="74" spans="1:6" x14ac:dyDescent="0.5">
      <c r="A74" t="s">
        <v>224</v>
      </c>
      <c r="B74" t="s">
        <v>225</v>
      </c>
      <c r="C74" t="s">
        <v>226</v>
      </c>
      <c r="D74" s="1">
        <v>0.43</v>
      </c>
      <c r="E74">
        <v>-5</v>
      </c>
      <c r="F74" t="s">
        <v>189</v>
      </c>
    </row>
    <row r="75" spans="1:6" x14ac:dyDescent="0.5">
      <c r="A75" t="s">
        <v>227</v>
      </c>
      <c r="B75" t="s">
        <v>228</v>
      </c>
      <c r="C75" t="s">
        <v>207</v>
      </c>
      <c r="D75" s="1">
        <v>0.47</v>
      </c>
      <c r="E75">
        <v>-6</v>
      </c>
      <c r="F75" t="s">
        <v>208</v>
      </c>
    </row>
    <row r="76" spans="1:6" x14ac:dyDescent="0.5">
      <c r="A76" t="s">
        <v>229</v>
      </c>
      <c r="B76" t="s">
        <v>230</v>
      </c>
      <c r="C76" t="s">
        <v>231</v>
      </c>
      <c r="D76" s="1">
        <v>0.47</v>
      </c>
      <c r="E76">
        <v>-7</v>
      </c>
      <c r="F76" t="s">
        <v>193</v>
      </c>
    </row>
    <row r="77" spans="1:6" x14ac:dyDescent="0.5">
      <c r="A77" t="s">
        <v>232</v>
      </c>
      <c r="B77" t="s">
        <v>233</v>
      </c>
      <c r="C77" t="s">
        <v>234</v>
      </c>
      <c r="D77" s="1">
        <v>0.47</v>
      </c>
    </row>
    <row r="78" spans="1:6" x14ac:dyDescent="0.5">
      <c r="A78" t="s">
        <v>235</v>
      </c>
      <c r="B78" t="s">
        <v>236</v>
      </c>
      <c r="C78" t="s">
        <v>152</v>
      </c>
      <c r="D78" s="1">
        <v>0.43</v>
      </c>
    </row>
    <row r="79" spans="1:6" x14ac:dyDescent="0.5">
      <c r="A79" t="s">
        <v>237</v>
      </c>
      <c r="B79" t="s">
        <v>238</v>
      </c>
      <c r="C79" t="s">
        <v>239</v>
      </c>
      <c r="D79" s="1">
        <v>0.04</v>
      </c>
    </row>
    <row r="80" spans="1:6" x14ac:dyDescent="0.5">
      <c r="A80" t="s">
        <v>240</v>
      </c>
      <c r="B80" t="s">
        <v>241</v>
      </c>
      <c r="C80" t="s">
        <v>242</v>
      </c>
      <c r="D80" s="1">
        <v>0.49</v>
      </c>
    </row>
    <row r="81" spans="1:6" x14ac:dyDescent="0.5">
      <c r="A81" t="s">
        <v>243</v>
      </c>
      <c r="B81" t="s">
        <v>244</v>
      </c>
      <c r="C81" t="s">
        <v>15</v>
      </c>
      <c r="D81" s="1">
        <v>0.46</v>
      </c>
      <c r="E81">
        <v>-1</v>
      </c>
      <c r="F81" t="s">
        <v>189</v>
      </c>
    </row>
    <row r="82" spans="1:6" x14ac:dyDescent="0.5">
      <c r="A82" t="s">
        <v>245</v>
      </c>
      <c r="B82" t="s">
        <v>246</v>
      </c>
      <c r="C82" t="s">
        <v>247</v>
      </c>
      <c r="D82" s="1">
        <v>0.49</v>
      </c>
      <c r="E82">
        <v>-1</v>
      </c>
      <c r="F82" t="s">
        <v>59</v>
      </c>
    </row>
    <row r="83" spans="1:6" x14ac:dyDescent="0.5">
      <c r="A83" t="s">
        <v>248</v>
      </c>
      <c r="B83" t="s">
        <v>249</v>
      </c>
      <c r="C83" t="s">
        <v>250</v>
      </c>
      <c r="D83" s="1">
        <v>0.36</v>
      </c>
    </row>
    <row r="84" spans="1:6" x14ac:dyDescent="0.5">
      <c r="A84" t="s">
        <v>251</v>
      </c>
      <c r="B84" t="s">
        <v>252</v>
      </c>
      <c r="C84" t="s">
        <v>162</v>
      </c>
      <c r="D84" s="1">
        <v>0.02</v>
      </c>
    </row>
    <row r="85" spans="1:6" x14ac:dyDescent="0.5">
      <c r="A85" t="s">
        <v>253</v>
      </c>
      <c r="B85" t="s">
        <v>254</v>
      </c>
      <c r="C85" t="s">
        <v>91</v>
      </c>
      <c r="D85" s="1">
        <v>0.49</v>
      </c>
      <c r="E85">
        <v>-1</v>
      </c>
      <c r="F85" t="s">
        <v>29</v>
      </c>
    </row>
    <row r="86" spans="1:6" x14ac:dyDescent="0.5">
      <c r="A86" t="s">
        <v>137</v>
      </c>
      <c r="B86" t="s">
        <v>138</v>
      </c>
      <c r="C86" t="s">
        <v>139</v>
      </c>
      <c r="D86" s="1">
        <v>0.42</v>
      </c>
    </row>
    <row r="87" spans="1:6" x14ac:dyDescent="0.5">
      <c r="A87" t="s">
        <v>154</v>
      </c>
      <c r="B87" t="s">
        <v>255</v>
      </c>
      <c r="C87" t="s">
        <v>222</v>
      </c>
      <c r="D87" s="1">
        <v>0.49</v>
      </c>
    </row>
    <row r="88" spans="1:6" x14ac:dyDescent="0.5">
      <c r="A88" t="s">
        <v>256</v>
      </c>
      <c r="B88" t="s">
        <v>257</v>
      </c>
      <c r="C88" t="s">
        <v>162</v>
      </c>
      <c r="D88" s="1">
        <v>0.14000000000000001</v>
      </c>
    </row>
    <row r="89" spans="1:6" x14ac:dyDescent="0.5">
      <c r="A89" t="s">
        <v>258</v>
      </c>
      <c r="B89" t="s">
        <v>259</v>
      </c>
      <c r="C89" t="s">
        <v>260</v>
      </c>
      <c r="D89" s="1">
        <v>0.49</v>
      </c>
    </row>
    <row r="90" spans="1:6" x14ac:dyDescent="0.5">
      <c r="A90" t="s">
        <v>261</v>
      </c>
      <c r="B90" t="s">
        <v>43</v>
      </c>
      <c r="C90" t="s">
        <v>172</v>
      </c>
      <c r="D90" s="1">
        <v>0.11</v>
      </c>
    </row>
    <row r="91" spans="1:6" x14ac:dyDescent="0.5">
      <c r="A91" t="s">
        <v>175</v>
      </c>
      <c r="B91" t="s">
        <v>262</v>
      </c>
      <c r="C91" t="s">
        <v>263</v>
      </c>
      <c r="D91" s="1">
        <v>0.49</v>
      </c>
    </row>
    <row r="92" spans="1:6" x14ac:dyDescent="0.5">
      <c r="A92" t="s">
        <v>264</v>
      </c>
      <c r="B92" t="s">
        <v>265</v>
      </c>
      <c r="C92" t="s">
        <v>162</v>
      </c>
      <c r="D92" s="1">
        <v>0.14000000000000001</v>
      </c>
    </row>
    <row r="93" spans="1:6" x14ac:dyDescent="0.5">
      <c r="A93" t="s">
        <v>266</v>
      </c>
      <c r="B93" t="s">
        <v>267</v>
      </c>
      <c r="C93" t="s">
        <v>268</v>
      </c>
      <c r="D93" s="1">
        <v>0.43</v>
      </c>
    </row>
    <row r="94" spans="1:6" x14ac:dyDescent="0.5">
      <c r="A94" t="s">
        <v>269</v>
      </c>
      <c r="B94" t="s">
        <v>270</v>
      </c>
      <c r="C94" t="s">
        <v>271</v>
      </c>
      <c r="D94" s="1">
        <v>0.5</v>
      </c>
    </row>
    <row r="95" spans="1:6" x14ac:dyDescent="0.5">
      <c r="A95" t="s">
        <v>272</v>
      </c>
      <c r="B95" t="s">
        <v>273</v>
      </c>
      <c r="C95" t="s">
        <v>184</v>
      </c>
      <c r="D95" s="1">
        <v>0.48</v>
      </c>
    </row>
    <row r="96" spans="1:6" x14ac:dyDescent="0.5">
      <c r="A96" t="s">
        <v>274</v>
      </c>
      <c r="B96" t="s">
        <v>275</v>
      </c>
      <c r="C96" t="s">
        <v>276</v>
      </c>
      <c r="D96" s="1">
        <v>0.48</v>
      </c>
    </row>
    <row r="97" spans="1:6" x14ac:dyDescent="0.5">
      <c r="A97" t="s">
        <v>277</v>
      </c>
      <c r="B97" t="s">
        <v>226</v>
      </c>
      <c r="C97" t="s">
        <v>162</v>
      </c>
      <c r="D97" s="1">
        <v>0.47</v>
      </c>
    </row>
    <row r="98" spans="1:6" x14ac:dyDescent="0.5">
      <c r="A98" t="s">
        <v>277</v>
      </c>
      <c r="B98" t="s">
        <v>226</v>
      </c>
      <c r="C98" t="s">
        <v>162</v>
      </c>
      <c r="D98" s="1">
        <v>0.47</v>
      </c>
    </row>
    <row r="99" spans="1:6" x14ac:dyDescent="0.5">
      <c r="A99" t="s">
        <v>278</v>
      </c>
      <c r="B99" t="s">
        <v>152</v>
      </c>
      <c r="C99" t="s">
        <v>279</v>
      </c>
      <c r="D99" s="1">
        <v>0.5</v>
      </c>
    </row>
    <row r="100" spans="1:6" x14ac:dyDescent="0.5">
      <c r="A100" t="s">
        <v>280</v>
      </c>
      <c r="B100" t="s">
        <v>281</v>
      </c>
      <c r="C100" t="s">
        <v>161</v>
      </c>
      <c r="D100" s="1">
        <v>0.08</v>
      </c>
    </row>
    <row r="101" spans="1:6" x14ac:dyDescent="0.5">
      <c r="A101" t="s">
        <v>282</v>
      </c>
      <c r="B101" t="s">
        <v>283</v>
      </c>
      <c r="C101" t="s">
        <v>167</v>
      </c>
      <c r="D101" s="1">
        <v>0.02</v>
      </c>
    </row>
    <row r="102" spans="1:6" x14ac:dyDescent="0.5">
      <c r="A102" t="s">
        <v>284</v>
      </c>
      <c r="B102" t="s">
        <v>285</v>
      </c>
      <c r="C102" t="s">
        <v>286</v>
      </c>
      <c r="D102" s="1">
        <v>0.49</v>
      </c>
    </row>
    <row r="103" spans="1:6" x14ac:dyDescent="0.5">
      <c r="A103" t="s">
        <v>287</v>
      </c>
      <c r="B103" t="s">
        <v>288</v>
      </c>
      <c r="C103" t="s">
        <v>67</v>
      </c>
      <c r="D103" s="1">
        <v>0.04</v>
      </c>
    </row>
    <row r="104" spans="1:6" x14ac:dyDescent="0.5">
      <c r="A104" t="s">
        <v>289</v>
      </c>
      <c r="B104" t="s">
        <v>290</v>
      </c>
      <c r="C104" t="s">
        <v>291</v>
      </c>
      <c r="D104" s="1">
        <v>0.49</v>
      </c>
    </row>
    <row r="105" spans="1:6" x14ac:dyDescent="0.5">
      <c r="A105" t="s">
        <v>292</v>
      </c>
      <c r="B105" t="s">
        <v>293</v>
      </c>
      <c r="C105" t="s">
        <v>294</v>
      </c>
      <c r="D105" s="1">
        <v>0.42</v>
      </c>
    </row>
    <row r="106" spans="1:6" x14ac:dyDescent="0.5">
      <c r="A106" t="s">
        <v>295</v>
      </c>
      <c r="B106" t="s">
        <v>296</v>
      </c>
      <c r="C106" t="s">
        <v>297</v>
      </c>
      <c r="D106" s="1">
        <v>0.21</v>
      </c>
      <c r="E106">
        <v>-1</v>
      </c>
      <c r="F106" t="s">
        <v>59</v>
      </c>
    </row>
    <row r="107" spans="1:6" x14ac:dyDescent="0.5">
      <c r="A107" t="s">
        <v>298</v>
      </c>
      <c r="B107" t="s">
        <v>299</v>
      </c>
      <c r="C107" t="s">
        <v>300</v>
      </c>
      <c r="D107" s="1">
        <v>0.41</v>
      </c>
    </row>
    <row r="108" spans="1:6" x14ac:dyDescent="0.5">
      <c r="A108" t="s">
        <v>301</v>
      </c>
      <c r="B108" t="s">
        <v>302</v>
      </c>
      <c r="C108" t="s">
        <v>303</v>
      </c>
      <c r="D108" s="1">
        <v>0.01</v>
      </c>
    </row>
    <row r="109" spans="1:6" x14ac:dyDescent="0.5">
      <c r="A109" t="s">
        <v>304</v>
      </c>
      <c r="B109" t="s">
        <v>305</v>
      </c>
      <c r="C109" t="s">
        <v>306</v>
      </c>
      <c r="D109" s="1">
        <v>0.24</v>
      </c>
    </row>
    <row r="110" spans="1:6" x14ac:dyDescent="0.5">
      <c r="A110" t="s">
        <v>307</v>
      </c>
      <c r="B110" t="s">
        <v>308</v>
      </c>
      <c r="C110" t="s">
        <v>309</v>
      </c>
      <c r="D110" s="1">
        <v>0.34</v>
      </c>
    </row>
    <row r="111" spans="1:6" x14ac:dyDescent="0.5">
      <c r="A111" t="s">
        <v>310</v>
      </c>
      <c r="B111" t="s">
        <v>146</v>
      </c>
      <c r="C111" t="s">
        <v>311</v>
      </c>
      <c r="D111" s="1">
        <v>0.34</v>
      </c>
    </row>
    <row r="112" spans="1:6" x14ac:dyDescent="0.5">
      <c r="A112" t="s">
        <v>312</v>
      </c>
      <c r="B112" t="s">
        <v>313</v>
      </c>
      <c r="C112" t="s">
        <v>162</v>
      </c>
      <c r="D112" s="1">
        <v>0.02</v>
      </c>
    </row>
    <row r="113" spans="1:6" x14ac:dyDescent="0.5">
      <c r="A113" t="s">
        <v>314</v>
      </c>
      <c r="B113" t="s">
        <v>315</v>
      </c>
      <c r="C113" t="s">
        <v>239</v>
      </c>
      <c r="D113" s="1">
        <v>0.02</v>
      </c>
    </row>
    <row r="114" spans="1:6" x14ac:dyDescent="0.5">
      <c r="A114" t="s">
        <v>316</v>
      </c>
      <c r="B114" t="s">
        <v>155</v>
      </c>
      <c r="C114" t="s">
        <v>317</v>
      </c>
      <c r="D114" s="1">
        <v>0.64</v>
      </c>
    </row>
    <row r="115" spans="1:6" x14ac:dyDescent="0.5">
      <c r="A115" t="s">
        <v>318</v>
      </c>
      <c r="B115" t="s">
        <v>242</v>
      </c>
      <c r="C115" t="s">
        <v>172</v>
      </c>
      <c r="D115" s="1">
        <v>0.5</v>
      </c>
      <c r="E115">
        <v>-1</v>
      </c>
      <c r="F115" t="s">
        <v>319</v>
      </c>
    </row>
    <row r="116" spans="1:6" x14ac:dyDescent="0.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8A2AB-6929-4A25-8C75-D1983D923626}">
  <dimension ref="A1:H19"/>
  <sheetViews>
    <sheetView workbookViewId="0">
      <selection activeCell="H8" sqref="H8"/>
    </sheetView>
  </sheetViews>
  <sheetFormatPr defaultRowHeight="16.5" x14ac:dyDescent="0.5"/>
  <cols>
    <col min="1" max="1" width="25.90625" bestFit="1" customWidth="1"/>
    <col min="3" max="3" width="67.81640625" bestFit="1" customWidth="1"/>
    <col min="4" max="4" width="14.81640625" bestFit="1" customWidth="1"/>
  </cols>
  <sheetData>
    <row r="1" spans="1:8" ht="18.5" x14ac:dyDescent="0.55000000000000004">
      <c r="A1" s="11" t="s">
        <v>336</v>
      </c>
      <c r="B1" s="12"/>
      <c r="C1" s="12"/>
      <c r="D1" s="12"/>
      <c r="E1" s="12"/>
      <c r="F1" s="12"/>
      <c r="G1" s="12"/>
      <c r="H1" s="12"/>
    </row>
    <row r="3" spans="1:8" x14ac:dyDescent="0.5">
      <c r="A3" t="s">
        <v>335</v>
      </c>
      <c r="C3" s="5" t="s">
        <v>344</v>
      </c>
      <c r="D3" t="s">
        <v>347</v>
      </c>
    </row>
    <row r="4" spans="1:8" x14ac:dyDescent="0.5">
      <c r="A4" s="13">
        <v>1208.2568807339449</v>
      </c>
      <c r="C4" s="6" t="s">
        <v>212</v>
      </c>
      <c r="D4" s="13">
        <v>3750</v>
      </c>
    </row>
    <row r="6" spans="1:8" x14ac:dyDescent="0.5">
      <c r="A6" t="s">
        <v>337</v>
      </c>
      <c r="C6" s="5" t="s">
        <v>345</v>
      </c>
      <c r="D6" t="s">
        <v>346</v>
      </c>
    </row>
    <row r="7" spans="1:8" x14ac:dyDescent="0.5">
      <c r="A7" s="13">
        <v>1837.7522935779816</v>
      </c>
      <c r="C7" s="6" t="s">
        <v>71</v>
      </c>
      <c r="D7" s="13">
        <v>38</v>
      </c>
    </row>
    <row r="9" spans="1:8" x14ac:dyDescent="0.5">
      <c r="A9" t="s">
        <v>338</v>
      </c>
    </row>
    <row r="10" spans="1:8" x14ac:dyDescent="0.5">
      <c r="A10" s="1">
        <v>0.36316851960735058</v>
      </c>
    </row>
    <row r="12" spans="1:8" x14ac:dyDescent="0.5">
      <c r="A12" t="s">
        <v>339</v>
      </c>
    </row>
    <row r="13" spans="1:8" x14ac:dyDescent="0.5">
      <c r="A13" s="13">
        <v>4.0376146788990788</v>
      </c>
    </row>
    <row r="15" spans="1:8" x14ac:dyDescent="0.5">
      <c r="A15" t="s">
        <v>341</v>
      </c>
    </row>
    <row r="16" spans="1:8" x14ac:dyDescent="0.5">
      <c r="A16" s="13">
        <v>109</v>
      </c>
    </row>
    <row r="18" spans="1:1" x14ac:dyDescent="0.5">
      <c r="A18" t="s">
        <v>343</v>
      </c>
    </row>
    <row r="19" spans="1:1" x14ac:dyDescent="0.5">
      <c r="A19" s="13">
        <v>1087</v>
      </c>
    </row>
  </sheetData>
  <mergeCells count="1">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82C04-BDF5-4E76-8E00-9FB4B4C65262}">
  <dimension ref="A1:E312"/>
  <sheetViews>
    <sheetView topLeftCell="A6" workbookViewId="0">
      <selection activeCell="A42" sqref="A42"/>
    </sheetView>
  </sheetViews>
  <sheetFormatPr defaultRowHeight="16.5" x14ac:dyDescent="0.5"/>
  <cols>
    <col min="1" max="1" width="89.90625" bestFit="1" customWidth="1"/>
    <col min="2" max="3" width="14.26953125" bestFit="1" customWidth="1"/>
    <col min="4" max="4" width="13.7265625" customWidth="1"/>
  </cols>
  <sheetData>
    <row r="1" spans="1:5" ht="17" x14ac:dyDescent="0.5">
      <c r="A1" s="8" t="s">
        <v>366</v>
      </c>
    </row>
    <row r="3" spans="1:5" x14ac:dyDescent="0.5">
      <c r="A3">
        <f>CORREL(Table1[%discount_calc],Table1[review])</f>
        <v>-2.5715396075904867E-2</v>
      </c>
      <c r="C3">
        <f>A3</f>
        <v>-2.5715396075904867E-2</v>
      </c>
      <c r="E3" s="9" t="s">
        <v>368</v>
      </c>
    </row>
    <row r="5" spans="1:5" ht="17" x14ac:dyDescent="0.5">
      <c r="A5" s="8" t="s">
        <v>367</v>
      </c>
    </row>
    <row r="6" spans="1:5" x14ac:dyDescent="0.5">
      <c r="A6">
        <f>CORREL(Table1[rating],Table1[review])</f>
        <v>-4.7409878458677659E-3</v>
      </c>
      <c r="C6">
        <f>A6</f>
        <v>-4.7409878458677659E-3</v>
      </c>
      <c r="E6" s="9" t="s">
        <v>368</v>
      </c>
    </row>
    <row r="8" spans="1:5" x14ac:dyDescent="0.5">
      <c r="A8" s="5" t="s">
        <v>370</v>
      </c>
      <c r="B8" t="s">
        <v>369</v>
      </c>
    </row>
    <row r="9" spans="1:5" x14ac:dyDescent="0.5">
      <c r="A9" s="6" t="s">
        <v>356</v>
      </c>
      <c r="B9" s="10">
        <v>1.0187979390433386</v>
      </c>
    </row>
    <row r="10" spans="1:5" x14ac:dyDescent="0.5">
      <c r="A10" s="6" t="s">
        <v>357</v>
      </c>
      <c r="B10" s="10">
        <v>0.96775143696298094</v>
      </c>
    </row>
    <row r="11" spans="1:5" x14ac:dyDescent="0.5">
      <c r="A11" s="6" t="s">
        <v>358</v>
      </c>
      <c r="B11" s="10">
        <v>1.0038930546088016</v>
      </c>
    </row>
    <row r="12" spans="1:5" x14ac:dyDescent="0.5">
      <c r="A12" s="6" t="s">
        <v>359</v>
      </c>
      <c r="B12" s="10">
        <v>1</v>
      </c>
    </row>
    <row r="24" spans="1:2" ht="17" x14ac:dyDescent="0.5">
      <c r="A24" s="8" t="s">
        <v>371</v>
      </c>
    </row>
    <row r="26" spans="1:2" x14ac:dyDescent="0.5">
      <c r="A26" s="5" t="s">
        <v>373</v>
      </c>
      <c r="B26" t="s">
        <v>372</v>
      </c>
    </row>
    <row r="27" spans="1:2" x14ac:dyDescent="0.5">
      <c r="A27" s="6" t="s">
        <v>190</v>
      </c>
      <c r="B27" s="13">
        <v>2585</v>
      </c>
    </row>
    <row r="28" spans="1:2" x14ac:dyDescent="0.5">
      <c r="A28" s="6" t="s">
        <v>85</v>
      </c>
      <c r="B28" s="13">
        <v>2452</v>
      </c>
    </row>
    <row r="29" spans="1:2" x14ac:dyDescent="0.5">
      <c r="A29" s="6" t="s">
        <v>212</v>
      </c>
      <c r="B29" s="13">
        <v>2393</v>
      </c>
    </row>
    <row r="30" spans="1:2" x14ac:dyDescent="0.5">
      <c r="A30" s="6" t="s">
        <v>63</v>
      </c>
      <c r="B30" s="13">
        <v>1946</v>
      </c>
    </row>
    <row r="31" spans="1:2" x14ac:dyDescent="0.5">
      <c r="A31" s="6" t="s">
        <v>328</v>
      </c>
      <c r="B31" s="13">
        <v>1880</v>
      </c>
    </row>
    <row r="32" spans="1:2" x14ac:dyDescent="0.5">
      <c r="A32" s="6" t="s">
        <v>128</v>
      </c>
      <c r="B32" s="13">
        <v>1721</v>
      </c>
    </row>
    <row r="33" spans="1:2" x14ac:dyDescent="0.5">
      <c r="A33" s="6" t="s">
        <v>108</v>
      </c>
      <c r="B33" s="13">
        <v>1670</v>
      </c>
    </row>
    <row r="34" spans="1:2" x14ac:dyDescent="0.5">
      <c r="A34" s="6" t="s">
        <v>35</v>
      </c>
      <c r="B34" s="13">
        <v>1526</v>
      </c>
    </row>
    <row r="35" spans="1:2" x14ac:dyDescent="0.5">
      <c r="A35" s="6" t="s">
        <v>229</v>
      </c>
      <c r="B35" s="13">
        <v>1418</v>
      </c>
    </row>
    <row r="36" spans="1:2" x14ac:dyDescent="0.5">
      <c r="A36" s="6" t="s">
        <v>75</v>
      </c>
      <c r="B36" s="13">
        <v>1360</v>
      </c>
    </row>
    <row r="37" spans="1:2" x14ac:dyDescent="0.5">
      <c r="A37" s="6" t="s">
        <v>359</v>
      </c>
      <c r="B37" s="13">
        <v>18951</v>
      </c>
    </row>
    <row r="39" spans="1:2" x14ac:dyDescent="0.5">
      <c r="A39" s="5" t="s">
        <v>374</v>
      </c>
      <c r="B39" t="s">
        <v>342</v>
      </c>
    </row>
    <row r="40" spans="1:2" x14ac:dyDescent="0.5">
      <c r="A40" s="6" t="s">
        <v>194</v>
      </c>
      <c r="B40" s="13">
        <v>69</v>
      </c>
    </row>
    <row r="41" spans="1:2" x14ac:dyDescent="0.5">
      <c r="A41" s="6" t="s">
        <v>30</v>
      </c>
      <c r="B41" s="13">
        <v>55</v>
      </c>
    </row>
    <row r="42" spans="1:2" x14ac:dyDescent="0.5">
      <c r="A42" s="6" t="s">
        <v>89</v>
      </c>
      <c r="B42" s="13">
        <v>49</v>
      </c>
    </row>
    <row r="43" spans="1:2" x14ac:dyDescent="0.5">
      <c r="A43" s="6" t="s">
        <v>68</v>
      </c>
      <c r="B43" s="13">
        <v>44</v>
      </c>
    </row>
    <row r="44" spans="1:2" x14ac:dyDescent="0.5">
      <c r="A44" s="6" t="s">
        <v>44</v>
      </c>
      <c r="B44" s="13">
        <v>39</v>
      </c>
    </row>
    <row r="45" spans="1:2" x14ac:dyDescent="0.5">
      <c r="A45" s="6" t="s">
        <v>122</v>
      </c>
      <c r="B45" s="13">
        <v>36</v>
      </c>
    </row>
    <row r="46" spans="1:2" x14ac:dyDescent="0.5">
      <c r="A46" s="6" t="s">
        <v>114</v>
      </c>
      <c r="B46" s="13">
        <v>32</v>
      </c>
    </row>
    <row r="47" spans="1:2" x14ac:dyDescent="0.5">
      <c r="A47" s="6" t="s">
        <v>14</v>
      </c>
      <c r="B47" s="13">
        <v>24</v>
      </c>
    </row>
    <row r="48" spans="1:2" x14ac:dyDescent="0.5">
      <c r="A48" s="6" t="s">
        <v>111</v>
      </c>
      <c r="B48" s="13">
        <v>20</v>
      </c>
    </row>
    <row r="49" spans="1:2" x14ac:dyDescent="0.5">
      <c r="A49" s="6" t="s">
        <v>97</v>
      </c>
      <c r="B49" s="13">
        <v>20</v>
      </c>
    </row>
    <row r="50" spans="1:2" x14ac:dyDescent="0.5">
      <c r="A50" s="6" t="s">
        <v>359</v>
      </c>
      <c r="B50" s="13">
        <v>388</v>
      </c>
    </row>
    <row r="52" spans="1:2" x14ac:dyDescent="0.5">
      <c r="A52" s="5" t="s">
        <v>375</v>
      </c>
      <c r="B52" t="s">
        <v>365</v>
      </c>
    </row>
    <row r="53" spans="1:2" x14ac:dyDescent="0.5">
      <c r="A53" s="6" t="s">
        <v>120</v>
      </c>
      <c r="B53" s="13">
        <v>5</v>
      </c>
    </row>
    <row r="54" spans="1:2" x14ac:dyDescent="0.5">
      <c r="A54" s="6" t="s">
        <v>63</v>
      </c>
      <c r="B54" s="13">
        <v>5</v>
      </c>
    </row>
    <row r="55" spans="1:2" x14ac:dyDescent="0.5">
      <c r="A55" s="6" t="s">
        <v>295</v>
      </c>
      <c r="B55" s="13">
        <v>5</v>
      </c>
    </row>
    <row r="56" spans="1:2" x14ac:dyDescent="0.5">
      <c r="A56" s="6" t="s">
        <v>56</v>
      </c>
      <c r="B56" s="13">
        <v>5</v>
      </c>
    </row>
    <row r="57" spans="1:2" x14ac:dyDescent="0.5">
      <c r="A57" s="6" t="s">
        <v>60</v>
      </c>
      <c r="B57" s="13">
        <v>5</v>
      </c>
    </row>
    <row r="58" spans="1:2" x14ac:dyDescent="0.5">
      <c r="A58" s="6" t="s">
        <v>245</v>
      </c>
      <c r="B58" s="13">
        <v>5</v>
      </c>
    </row>
    <row r="59" spans="1:2" x14ac:dyDescent="0.5">
      <c r="A59" s="6" t="s">
        <v>117</v>
      </c>
      <c r="B59" s="13">
        <v>5</v>
      </c>
    </row>
    <row r="60" spans="1:2" x14ac:dyDescent="0.5">
      <c r="A60" s="6" t="s">
        <v>35</v>
      </c>
      <c r="B60" s="13">
        <v>4.8</v>
      </c>
    </row>
    <row r="61" spans="1:2" x14ac:dyDescent="0.5">
      <c r="A61" s="6" t="s">
        <v>22</v>
      </c>
      <c r="B61" s="13">
        <v>4.8</v>
      </c>
    </row>
    <row r="62" spans="1:2" x14ac:dyDescent="0.5">
      <c r="A62" s="6" t="s">
        <v>47</v>
      </c>
      <c r="B62" s="13">
        <v>4.8</v>
      </c>
    </row>
    <row r="63" spans="1:2" x14ac:dyDescent="0.5">
      <c r="A63" s="6" t="s">
        <v>359</v>
      </c>
      <c r="B63" s="13">
        <v>49.399999999999991</v>
      </c>
    </row>
    <row r="65" spans="1:2" x14ac:dyDescent="0.5">
      <c r="A65" s="5" t="s">
        <v>376</v>
      </c>
      <c r="B65" t="s">
        <v>365</v>
      </c>
    </row>
    <row r="66" spans="1:2" x14ac:dyDescent="0.5">
      <c r="A66" s="6" t="s">
        <v>227</v>
      </c>
      <c r="B66" s="13">
        <v>2.2000000000000002</v>
      </c>
    </row>
    <row r="67" spans="1:2" x14ac:dyDescent="0.5">
      <c r="A67" s="6" t="s">
        <v>206</v>
      </c>
      <c r="B67" s="13">
        <v>2.2000000000000002</v>
      </c>
    </row>
    <row r="68" spans="1:2" x14ac:dyDescent="0.5">
      <c r="A68" s="6" t="s">
        <v>190</v>
      </c>
      <c r="B68" s="13">
        <v>2.1</v>
      </c>
    </row>
    <row r="69" spans="1:2" x14ac:dyDescent="0.5">
      <c r="A69" s="6" t="s">
        <v>229</v>
      </c>
      <c r="B69" s="13">
        <v>2.1</v>
      </c>
    </row>
    <row r="70" spans="1:2" x14ac:dyDescent="0.5">
      <c r="A70" s="6" t="s">
        <v>318</v>
      </c>
      <c r="B70" s="13">
        <v>2</v>
      </c>
    </row>
    <row r="71" spans="1:2" x14ac:dyDescent="0.5">
      <c r="A71" s="6" t="s">
        <v>359</v>
      </c>
      <c r="B71" s="13">
        <v>10.600000000000001</v>
      </c>
    </row>
    <row r="85" spans="1:4" ht="17" x14ac:dyDescent="0.5">
      <c r="A85" s="8" t="s">
        <v>377</v>
      </c>
    </row>
    <row r="87" spans="1:4" x14ac:dyDescent="0.5">
      <c r="A87" s="5" t="s">
        <v>355</v>
      </c>
      <c r="B87" t="s">
        <v>372</v>
      </c>
      <c r="C87" t="s">
        <v>342</v>
      </c>
      <c r="D87" t="s">
        <v>365</v>
      </c>
    </row>
    <row r="88" spans="1:4" x14ac:dyDescent="0.5">
      <c r="A88" s="6" t="s">
        <v>318</v>
      </c>
      <c r="B88" s="13">
        <v>450</v>
      </c>
      <c r="C88" s="13">
        <v>1</v>
      </c>
      <c r="D88" s="13">
        <v>2</v>
      </c>
    </row>
    <row r="89" spans="1:4" x14ac:dyDescent="0.5">
      <c r="A89" s="6" t="s">
        <v>190</v>
      </c>
      <c r="B89" s="13">
        <v>2585</v>
      </c>
      <c r="C89" s="13">
        <v>13</v>
      </c>
      <c r="D89" s="13">
        <v>2.1</v>
      </c>
    </row>
    <row r="90" spans="1:4" x14ac:dyDescent="0.5">
      <c r="A90" s="6" t="s">
        <v>229</v>
      </c>
      <c r="B90" s="13">
        <v>1418</v>
      </c>
      <c r="C90" s="13">
        <v>7</v>
      </c>
      <c r="D90" s="13">
        <v>2.1</v>
      </c>
    </row>
    <row r="91" spans="1:4" x14ac:dyDescent="0.5">
      <c r="A91" s="6" t="s">
        <v>206</v>
      </c>
      <c r="B91" s="13">
        <v>824</v>
      </c>
      <c r="C91" s="13">
        <v>6</v>
      </c>
      <c r="D91" s="13">
        <v>2.2000000000000002</v>
      </c>
    </row>
    <row r="92" spans="1:4" x14ac:dyDescent="0.5">
      <c r="A92" s="6" t="s">
        <v>227</v>
      </c>
      <c r="B92" s="13">
        <v>846</v>
      </c>
      <c r="C92" s="13">
        <v>6</v>
      </c>
      <c r="D92" s="13">
        <v>2.2000000000000002</v>
      </c>
    </row>
    <row r="93" spans="1:4" x14ac:dyDescent="0.5">
      <c r="A93" s="6" t="s">
        <v>209</v>
      </c>
      <c r="B93" s="13">
        <v>1000</v>
      </c>
      <c r="C93" s="13">
        <v>7</v>
      </c>
      <c r="D93" s="13">
        <v>2.2999999999999998</v>
      </c>
    </row>
    <row r="94" spans="1:4" x14ac:dyDescent="0.5">
      <c r="A94" s="6" t="s">
        <v>221</v>
      </c>
      <c r="B94" s="13">
        <v>257</v>
      </c>
      <c r="C94" s="13">
        <v>6</v>
      </c>
      <c r="D94" s="13">
        <v>2.2999999999999998</v>
      </c>
    </row>
    <row r="95" spans="1:4" x14ac:dyDescent="0.5">
      <c r="A95" s="6" t="s">
        <v>182</v>
      </c>
      <c r="B95" s="13">
        <v>330</v>
      </c>
      <c r="C95" s="13">
        <v>6</v>
      </c>
      <c r="D95" s="13">
        <v>2.5</v>
      </c>
    </row>
    <row r="96" spans="1:4" x14ac:dyDescent="0.5">
      <c r="A96" s="6" t="s">
        <v>215</v>
      </c>
      <c r="B96" s="13">
        <v>318</v>
      </c>
      <c r="C96" s="13">
        <v>17</v>
      </c>
      <c r="D96" s="13">
        <v>2.6</v>
      </c>
    </row>
    <row r="97" spans="1:4" x14ac:dyDescent="0.5">
      <c r="A97" s="6" t="s">
        <v>198</v>
      </c>
      <c r="B97" s="13">
        <v>355</v>
      </c>
      <c r="C97" s="13">
        <v>15</v>
      </c>
      <c r="D97" s="13">
        <v>2.7</v>
      </c>
    </row>
    <row r="98" spans="1:4" x14ac:dyDescent="0.5">
      <c r="A98" s="6" t="s">
        <v>194</v>
      </c>
      <c r="B98" s="13">
        <v>428</v>
      </c>
      <c r="C98" s="13">
        <v>69</v>
      </c>
      <c r="D98" s="13">
        <v>2.8</v>
      </c>
    </row>
    <row r="99" spans="1:4" x14ac:dyDescent="0.5">
      <c r="A99" s="6" t="s">
        <v>202</v>
      </c>
      <c r="B99" s="13">
        <v>335</v>
      </c>
      <c r="C99" s="13">
        <v>16</v>
      </c>
      <c r="D99" s="13">
        <v>2.9</v>
      </c>
    </row>
    <row r="100" spans="1:4" x14ac:dyDescent="0.5">
      <c r="A100" s="6" t="s">
        <v>218</v>
      </c>
      <c r="B100" s="13">
        <v>940</v>
      </c>
      <c r="C100" s="13">
        <v>5</v>
      </c>
      <c r="D100" s="13">
        <v>3</v>
      </c>
    </row>
    <row r="101" spans="1:4" x14ac:dyDescent="0.5">
      <c r="A101" s="6" t="s">
        <v>243</v>
      </c>
      <c r="B101" s="13">
        <v>1010</v>
      </c>
      <c r="C101" s="13">
        <v>1</v>
      </c>
      <c r="D101" s="13">
        <v>3</v>
      </c>
    </row>
    <row r="102" spans="1:4" x14ac:dyDescent="0.5">
      <c r="A102" s="6" t="s">
        <v>186</v>
      </c>
      <c r="B102" s="13">
        <v>528</v>
      </c>
      <c r="C102" s="13">
        <v>10</v>
      </c>
      <c r="D102" s="13">
        <v>3</v>
      </c>
    </row>
    <row r="103" spans="1:4" x14ac:dyDescent="0.5">
      <c r="A103" s="6" t="s">
        <v>212</v>
      </c>
      <c r="B103" s="13">
        <v>2393</v>
      </c>
      <c r="C103" s="13">
        <v>5</v>
      </c>
      <c r="D103" s="13">
        <v>3</v>
      </c>
    </row>
    <row r="104" spans="1:4" x14ac:dyDescent="0.5">
      <c r="A104" s="6" t="s">
        <v>224</v>
      </c>
      <c r="B104" s="13">
        <v>390</v>
      </c>
      <c r="C104" s="13">
        <v>5</v>
      </c>
      <c r="D104" s="13">
        <v>3</v>
      </c>
    </row>
    <row r="105" spans="1:4" x14ac:dyDescent="0.5">
      <c r="A105" s="6" t="s">
        <v>71</v>
      </c>
      <c r="B105" s="13">
        <v>42</v>
      </c>
      <c r="C105" s="13">
        <v>13</v>
      </c>
      <c r="D105" s="13">
        <v>3.3</v>
      </c>
    </row>
    <row r="106" spans="1:4" x14ac:dyDescent="0.5">
      <c r="A106" s="6" t="s">
        <v>95</v>
      </c>
      <c r="B106" s="13">
        <v>640</v>
      </c>
      <c r="C106" s="13">
        <v>13</v>
      </c>
      <c r="D106" s="13">
        <v>3.8</v>
      </c>
    </row>
    <row r="107" spans="1:4" x14ac:dyDescent="0.5">
      <c r="A107" s="6" t="s">
        <v>92</v>
      </c>
      <c r="B107" s="13">
        <v>640</v>
      </c>
      <c r="C107" s="13">
        <v>12</v>
      </c>
      <c r="D107" s="13">
        <v>3.8</v>
      </c>
    </row>
    <row r="108" spans="1:4" x14ac:dyDescent="0.5">
      <c r="A108" s="6" t="s">
        <v>38</v>
      </c>
      <c r="B108" s="13">
        <v>1329</v>
      </c>
      <c r="C108" s="13">
        <v>5</v>
      </c>
      <c r="D108" s="13">
        <v>3.8</v>
      </c>
    </row>
    <row r="109" spans="1:4" x14ac:dyDescent="0.5">
      <c r="A109" s="6" t="s">
        <v>78</v>
      </c>
      <c r="B109" s="13">
        <v>470</v>
      </c>
      <c r="C109" s="13">
        <v>6</v>
      </c>
      <c r="D109" s="13">
        <v>4</v>
      </c>
    </row>
    <row r="110" spans="1:4" x14ac:dyDescent="0.5">
      <c r="A110" s="6" t="s">
        <v>253</v>
      </c>
      <c r="B110" s="13">
        <v>317</v>
      </c>
      <c r="C110" s="13">
        <v>1</v>
      </c>
      <c r="D110" s="13">
        <v>4</v>
      </c>
    </row>
    <row r="111" spans="1:4" x14ac:dyDescent="0.5">
      <c r="A111" s="6" t="s">
        <v>26</v>
      </c>
      <c r="B111" s="13">
        <v>291</v>
      </c>
      <c r="C111" s="13">
        <v>15</v>
      </c>
      <c r="D111" s="13">
        <v>4</v>
      </c>
    </row>
    <row r="112" spans="1:4" x14ac:dyDescent="0.5">
      <c r="A112" s="6" t="s">
        <v>33</v>
      </c>
      <c r="B112" s="13">
        <v>592</v>
      </c>
      <c r="C112" s="13">
        <v>2</v>
      </c>
      <c r="D112" s="13">
        <v>4</v>
      </c>
    </row>
    <row r="113" spans="1:4" x14ac:dyDescent="0.5">
      <c r="A113" s="6" t="s">
        <v>97</v>
      </c>
      <c r="B113" s="13">
        <v>741</v>
      </c>
      <c r="C113" s="13">
        <v>20</v>
      </c>
      <c r="D113" s="13">
        <v>4.0999999999999996</v>
      </c>
    </row>
    <row r="114" spans="1:4" x14ac:dyDescent="0.5">
      <c r="A114" s="6" t="s">
        <v>10</v>
      </c>
      <c r="B114" s="13">
        <v>472</v>
      </c>
      <c r="C114" s="13">
        <v>14</v>
      </c>
      <c r="D114" s="13">
        <v>4.0999999999999996</v>
      </c>
    </row>
    <row r="115" spans="1:4" x14ac:dyDescent="0.5">
      <c r="A115" s="6" t="s">
        <v>42</v>
      </c>
      <c r="B115" s="13">
        <v>200</v>
      </c>
      <c r="C115" s="13">
        <v>12</v>
      </c>
      <c r="D115" s="13">
        <v>4.0999999999999996</v>
      </c>
    </row>
    <row r="116" spans="1:4" x14ac:dyDescent="0.5">
      <c r="A116" s="6" t="s">
        <v>237</v>
      </c>
      <c r="B116" s="13">
        <v>67</v>
      </c>
      <c r="C116" s="13">
        <v>7</v>
      </c>
      <c r="D116" s="13">
        <v>4.2</v>
      </c>
    </row>
    <row r="117" spans="1:4" x14ac:dyDescent="0.5">
      <c r="A117" s="6" t="s">
        <v>248</v>
      </c>
      <c r="B117" s="13">
        <v>830</v>
      </c>
      <c r="C117" s="13">
        <v>7</v>
      </c>
      <c r="D117" s="13">
        <v>4.2</v>
      </c>
    </row>
    <row r="118" spans="1:4" x14ac:dyDescent="0.5">
      <c r="A118" s="6" t="s">
        <v>264</v>
      </c>
      <c r="B118" s="13">
        <v>231</v>
      </c>
      <c r="C118" s="13">
        <v>7</v>
      </c>
      <c r="D118" s="13">
        <v>4.2</v>
      </c>
    </row>
    <row r="119" spans="1:4" x14ac:dyDescent="0.5">
      <c r="A119" s="6" t="s">
        <v>304</v>
      </c>
      <c r="B119" s="13">
        <v>62</v>
      </c>
      <c r="C119" s="13">
        <v>7</v>
      </c>
      <c r="D119" s="13">
        <v>4.2</v>
      </c>
    </row>
    <row r="120" spans="1:4" x14ac:dyDescent="0.5">
      <c r="A120" s="6" t="s">
        <v>251</v>
      </c>
      <c r="B120" s="13">
        <v>33</v>
      </c>
      <c r="C120" s="13">
        <v>7</v>
      </c>
      <c r="D120" s="13">
        <v>4.2</v>
      </c>
    </row>
    <row r="121" spans="1:4" x14ac:dyDescent="0.5">
      <c r="A121" s="6" t="s">
        <v>277</v>
      </c>
      <c r="B121" s="13">
        <v>800</v>
      </c>
      <c r="C121" s="13">
        <v>7</v>
      </c>
      <c r="D121" s="13">
        <v>4.2</v>
      </c>
    </row>
    <row r="122" spans="1:4" x14ac:dyDescent="0.5">
      <c r="A122" s="6" t="s">
        <v>128</v>
      </c>
      <c r="B122" s="13">
        <v>1721</v>
      </c>
      <c r="C122" s="13">
        <v>7</v>
      </c>
      <c r="D122" s="13">
        <v>4.2</v>
      </c>
    </row>
    <row r="123" spans="1:4" x14ac:dyDescent="0.5">
      <c r="A123" s="6" t="s">
        <v>240</v>
      </c>
      <c r="B123" s="13">
        <v>220</v>
      </c>
      <c r="C123" s="13">
        <v>7</v>
      </c>
      <c r="D123" s="13">
        <v>4.2</v>
      </c>
    </row>
    <row r="124" spans="1:4" x14ac:dyDescent="0.5">
      <c r="A124" s="6" t="s">
        <v>307</v>
      </c>
      <c r="B124" s="13">
        <v>587</v>
      </c>
      <c r="C124" s="13">
        <v>7</v>
      </c>
      <c r="D124" s="13">
        <v>4.2</v>
      </c>
    </row>
    <row r="125" spans="1:4" x14ac:dyDescent="0.5">
      <c r="A125" s="6" t="s">
        <v>298</v>
      </c>
      <c r="B125" s="13">
        <v>1000</v>
      </c>
      <c r="C125" s="13">
        <v>7</v>
      </c>
      <c r="D125" s="13">
        <v>4.2</v>
      </c>
    </row>
    <row r="126" spans="1:4" x14ac:dyDescent="0.5">
      <c r="A126" s="6" t="s">
        <v>284</v>
      </c>
      <c r="B126" s="13">
        <v>238</v>
      </c>
      <c r="C126" s="13">
        <v>7</v>
      </c>
      <c r="D126" s="13">
        <v>4.2</v>
      </c>
    </row>
    <row r="127" spans="1:4" x14ac:dyDescent="0.5">
      <c r="A127" s="6" t="s">
        <v>175</v>
      </c>
      <c r="B127" s="13">
        <v>768</v>
      </c>
      <c r="C127" s="13">
        <v>7</v>
      </c>
      <c r="D127" s="13">
        <v>4.2</v>
      </c>
    </row>
    <row r="128" spans="1:4" x14ac:dyDescent="0.5">
      <c r="A128" s="6" t="s">
        <v>287</v>
      </c>
      <c r="B128" s="13">
        <v>153</v>
      </c>
      <c r="C128" s="13">
        <v>7</v>
      </c>
      <c r="D128" s="13">
        <v>4.2</v>
      </c>
    </row>
    <row r="129" spans="1:4" x14ac:dyDescent="0.5">
      <c r="A129" s="6" t="s">
        <v>289</v>
      </c>
      <c r="B129" s="13">
        <v>504</v>
      </c>
      <c r="C129" s="13">
        <v>7</v>
      </c>
      <c r="D129" s="13">
        <v>4.2</v>
      </c>
    </row>
    <row r="130" spans="1:4" x14ac:dyDescent="0.5">
      <c r="A130" s="6" t="s">
        <v>134</v>
      </c>
      <c r="B130" s="13">
        <v>238</v>
      </c>
      <c r="C130" s="13">
        <v>7</v>
      </c>
      <c r="D130" s="13">
        <v>4.2</v>
      </c>
    </row>
    <row r="131" spans="1:4" x14ac:dyDescent="0.5">
      <c r="A131" s="6" t="s">
        <v>320</v>
      </c>
      <c r="B131" s="13">
        <v>151</v>
      </c>
      <c r="C131" s="13">
        <v>7</v>
      </c>
      <c r="D131" s="13">
        <v>4.2</v>
      </c>
    </row>
    <row r="132" spans="1:4" x14ac:dyDescent="0.5">
      <c r="A132" s="6" t="s">
        <v>53</v>
      </c>
      <c r="B132" s="13">
        <v>819</v>
      </c>
      <c r="C132" s="13">
        <v>9</v>
      </c>
      <c r="D132" s="13">
        <v>4.2</v>
      </c>
    </row>
    <row r="133" spans="1:4" x14ac:dyDescent="0.5">
      <c r="A133" s="6" t="s">
        <v>148</v>
      </c>
      <c r="B133" s="13">
        <v>645</v>
      </c>
      <c r="C133" s="13">
        <v>7</v>
      </c>
      <c r="D133" s="13">
        <v>4.2</v>
      </c>
    </row>
    <row r="134" spans="1:4" x14ac:dyDescent="0.5">
      <c r="A134" s="6" t="s">
        <v>266</v>
      </c>
      <c r="B134" s="13">
        <v>470</v>
      </c>
      <c r="C134" s="13">
        <v>7</v>
      </c>
      <c r="D134" s="13">
        <v>4.2</v>
      </c>
    </row>
    <row r="135" spans="1:4" x14ac:dyDescent="0.5">
      <c r="A135" s="6" t="s">
        <v>310</v>
      </c>
      <c r="B135" s="13">
        <v>620</v>
      </c>
      <c r="C135" s="13">
        <v>7</v>
      </c>
      <c r="D135" s="13">
        <v>4.2</v>
      </c>
    </row>
    <row r="136" spans="1:4" x14ac:dyDescent="0.5">
      <c r="A136" s="6" t="s">
        <v>328</v>
      </c>
      <c r="B136" s="13">
        <v>1880</v>
      </c>
      <c r="C136" s="13">
        <v>7</v>
      </c>
      <c r="D136" s="13">
        <v>4.2</v>
      </c>
    </row>
    <row r="137" spans="1:4" x14ac:dyDescent="0.5">
      <c r="A137" s="6" t="s">
        <v>173</v>
      </c>
      <c r="B137" s="13">
        <v>644</v>
      </c>
      <c r="C137" s="13">
        <v>7</v>
      </c>
      <c r="D137" s="13">
        <v>4.2</v>
      </c>
    </row>
    <row r="138" spans="1:4" x14ac:dyDescent="0.5">
      <c r="A138" s="6" t="s">
        <v>165</v>
      </c>
      <c r="B138" s="13">
        <v>40</v>
      </c>
      <c r="C138" s="13">
        <v>7</v>
      </c>
      <c r="D138" s="13">
        <v>4.2</v>
      </c>
    </row>
    <row r="139" spans="1:4" x14ac:dyDescent="0.5">
      <c r="A139" s="6" t="s">
        <v>168</v>
      </c>
      <c r="B139" s="13">
        <v>544</v>
      </c>
      <c r="C139" s="13">
        <v>7</v>
      </c>
      <c r="D139" s="13">
        <v>4.2</v>
      </c>
    </row>
    <row r="140" spans="1:4" x14ac:dyDescent="0.5">
      <c r="A140" s="6" t="s">
        <v>131</v>
      </c>
      <c r="B140" s="13">
        <v>456</v>
      </c>
      <c r="C140" s="13">
        <v>7</v>
      </c>
      <c r="D140" s="13">
        <v>4.2</v>
      </c>
    </row>
    <row r="141" spans="1:4" x14ac:dyDescent="0.5">
      <c r="A141" s="6" t="s">
        <v>232</v>
      </c>
      <c r="B141" s="13">
        <v>695</v>
      </c>
      <c r="C141" s="13">
        <v>7</v>
      </c>
      <c r="D141" s="13">
        <v>4.2</v>
      </c>
    </row>
    <row r="142" spans="1:4" x14ac:dyDescent="0.5">
      <c r="A142" s="6" t="s">
        <v>256</v>
      </c>
      <c r="B142" s="13">
        <v>233</v>
      </c>
      <c r="C142" s="13">
        <v>7</v>
      </c>
      <c r="D142" s="13">
        <v>4.2</v>
      </c>
    </row>
    <row r="143" spans="1:4" x14ac:dyDescent="0.5">
      <c r="A143" s="6" t="s">
        <v>235</v>
      </c>
      <c r="B143" s="13">
        <v>510</v>
      </c>
      <c r="C143" s="13">
        <v>7</v>
      </c>
      <c r="D143" s="13">
        <v>4.2</v>
      </c>
    </row>
    <row r="144" spans="1:4" x14ac:dyDescent="0.5">
      <c r="A144" s="6" t="s">
        <v>261</v>
      </c>
      <c r="B144" s="13">
        <v>101</v>
      </c>
      <c r="C144" s="13">
        <v>7</v>
      </c>
      <c r="D144" s="13">
        <v>4.2</v>
      </c>
    </row>
    <row r="145" spans="1:4" x14ac:dyDescent="0.5">
      <c r="A145" s="6" t="s">
        <v>145</v>
      </c>
      <c r="B145" s="13">
        <v>595</v>
      </c>
      <c r="C145" s="13">
        <v>7</v>
      </c>
      <c r="D145" s="13">
        <v>4.2</v>
      </c>
    </row>
    <row r="146" spans="1:4" x14ac:dyDescent="0.5">
      <c r="A146" s="6" t="s">
        <v>160</v>
      </c>
      <c r="B146" s="13">
        <v>39</v>
      </c>
      <c r="C146" s="13">
        <v>7</v>
      </c>
      <c r="D146" s="13">
        <v>4.2</v>
      </c>
    </row>
    <row r="147" spans="1:4" x14ac:dyDescent="0.5">
      <c r="A147" s="6" t="s">
        <v>301</v>
      </c>
      <c r="B147" s="13">
        <v>24</v>
      </c>
      <c r="C147" s="13">
        <v>7</v>
      </c>
      <c r="D147" s="13">
        <v>4.2</v>
      </c>
    </row>
    <row r="148" spans="1:4" x14ac:dyDescent="0.5">
      <c r="A148" s="6" t="s">
        <v>163</v>
      </c>
      <c r="B148" s="13">
        <v>85</v>
      </c>
      <c r="C148" s="13">
        <v>7</v>
      </c>
      <c r="D148" s="13">
        <v>4.2</v>
      </c>
    </row>
    <row r="149" spans="1:4" x14ac:dyDescent="0.5">
      <c r="A149" s="6" t="s">
        <v>137</v>
      </c>
      <c r="B149" s="13">
        <v>450</v>
      </c>
      <c r="C149" s="13">
        <v>7</v>
      </c>
      <c r="D149" s="13">
        <v>4.2</v>
      </c>
    </row>
    <row r="150" spans="1:4" x14ac:dyDescent="0.5">
      <c r="A150" s="6" t="s">
        <v>282</v>
      </c>
      <c r="B150" s="13">
        <v>37</v>
      </c>
      <c r="C150" s="13">
        <v>7</v>
      </c>
      <c r="D150" s="13">
        <v>4.2</v>
      </c>
    </row>
    <row r="151" spans="1:4" x14ac:dyDescent="0.5">
      <c r="A151" s="6" t="s">
        <v>258</v>
      </c>
      <c r="B151" s="13">
        <v>263</v>
      </c>
      <c r="C151" s="13">
        <v>7</v>
      </c>
      <c r="D151" s="13">
        <v>4.2</v>
      </c>
    </row>
    <row r="152" spans="1:4" x14ac:dyDescent="0.5">
      <c r="A152" s="6" t="s">
        <v>75</v>
      </c>
      <c r="B152" s="13">
        <v>1360</v>
      </c>
      <c r="C152" s="13">
        <v>7</v>
      </c>
      <c r="D152" s="13">
        <v>4.2</v>
      </c>
    </row>
    <row r="153" spans="1:4" x14ac:dyDescent="0.5">
      <c r="A153" s="6" t="s">
        <v>154</v>
      </c>
      <c r="B153" s="13">
        <v>305</v>
      </c>
      <c r="C153" s="13">
        <v>7</v>
      </c>
      <c r="D153" s="13">
        <v>4.2</v>
      </c>
    </row>
    <row r="154" spans="1:4" x14ac:dyDescent="0.5">
      <c r="A154" s="6" t="s">
        <v>272</v>
      </c>
      <c r="B154" s="13">
        <v>1200</v>
      </c>
      <c r="C154" s="13">
        <v>7</v>
      </c>
      <c r="D154" s="13">
        <v>4.2</v>
      </c>
    </row>
    <row r="155" spans="1:4" x14ac:dyDescent="0.5">
      <c r="A155" s="6" t="s">
        <v>177</v>
      </c>
      <c r="B155" s="13">
        <v>1011</v>
      </c>
      <c r="C155" s="13">
        <v>7</v>
      </c>
      <c r="D155" s="13">
        <v>4.2</v>
      </c>
    </row>
    <row r="156" spans="1:4" x14ac:dyDescent="0.5">
      <c r="A156" s="6" t="s">
        <v>274</v>
      </c>
      <c r="B156" s="13">
        <v>95</v>
      </c>
      <c r="C156" s="13">
        <v>7</v>
      </c>
      <c r="D156" s="13">
        <v>4.2</v>
      </c>
    </row>
    <row r="157" spans="1:4" x14ac:dyDescent="0.5">
      <c r="A157" s="6" t="s">
        <v>292</v>
      </c>
      <c r="B157" s="13">
        <v>794</v>
      </c>
      <c r="C157" s="13">
        <v>7</v>
      </c>
      <c r="D157" s="13">
        <v>4.2</v>
      </c>
    </row>
    <row r="158" spans="1:4" x14ac:dyDescent="0.5">
      <c r="A158" s="6" t="s">
        <v>140</v>
      </c>
      <c r="B158" s="13">
        <v>37</v>
      </c>
      <c r="C158" s="13">
        <v>7</v>
      </c>
      <c r="D158" s="13">
        <v>4.2</v>
      </c>
    </row>
    <row r="159" spans="1:4" x14ac:dyDescent="0.5">
      <c r="A159" s="6" t="s">
        <v>157</v>
      </c>
      <c r="B159" s="13">
        <v>301</v>
      </c>
      <c r="C159" s="13">
        <v>7</v>
      </c>
      <c r="D159" s="13">
        <v>4.2</v>
      </c>
    </row>
    <row r="160" spans="1:4" x14ac:dyDescent="0.5">
      <c r="A160" s="6" t="s">
        <v>312</v>
      </c>
      <c r="B160" s="13">
        <v>41</v>
      </c>
      <c r="C160" s="13">
        <v>7</v>
      </c>
      <c r="D160" s="13">
        <v>4.2</v>
      </c>
    </row>
    <row r="161" spans="1:4" x14ac:dyDescent="0.5">
      <c r="A161" s="6" t="s">
        <v>151</v>
      </c>
      <c r="B161" s="13">
        <v>750</v>
      </c>
      <c r="C161" s="13">
        <v>7</v>
      </c>
      <c r="D161" s="13">
        <v>4.2</v>
      </c>
    </row>
    <row r="162" spans="1:4" x14ac:dyDescent="0.5">
      <c r="A162" s="6" t="s">
        <v>170</v>
      </c>
      <c r="B162" s="13">
        <v>401</v>
      </c>
      <c r="C162" s="13">
        <v>7</v>
      </c>
      <c r="D162" s="13">
        <v>4.2</v>
      </c>
    </row>
    <row r="163" spans="1:4" x14ac:dyDescent="0.5">
      <c r="A163" s="6" t="s">
        <v>278</v>
      </c>
      <c r="B163" s="13">
        <v>1200</v>
      </c>
      <c r="C163" s="13">
        <v>7</v>
      </c>
      <c r="D163" s="13">
        <v>4.2</v>
      </c>
    </row>
    <row r="164" spans="1:4" x14ac:dyDescent="0.5">
      <c r="A164" s="6" t="s">
        <v>314</v>
      </c>
      <c r="B164" s="13">
        <v>31</v>
      </c>
      <c r="C164" s="13">
        <v>7</v>
      </c>
      <c r="D164" s="13">
        <v>4.2</v>
      </c>
    </row>
    <row r="165" spans="1:4" x14ac:dyDescent="0.5">
      <c r="A165" s="6" t="s">
        <v>316</v>
      </c>
      <c r="B165" s="13">
        <v>354</v>
      </c>
      <c r="C165" s="13">
        <v>7</v>
      </c>
      <c r="D165" s="13">
        <v>4.2</v>
      </c>
    </row>
    <row r="166" spans="1:4" x14ac:dyDescent="0.5">
      <c r="A166" s="6" t="s">
        <v>269</v>
      </c>
      <c r="B166" s="13">
        <v>850</v>
      </c>
      <c r="C166" s="13">
        <v>7</v>
      </c>
      <c r="D166" s="13">
        <v>4.2</v>
      </c>
    </row>
    <row r="167" spans="1:4" x14ac:dyDescent="0.5">
      <c r="A167" s="6" t="s">
        <v>143</v>
      </c>
      <c r="B167" s="13">
        <v>1001</v>
      </c>
      <c r="C167" s="13">
        <v>7</v>
      </c>
      <c r="D167" s="13">
        <v>4.2</v>
      </c>
    </row>
    <row r="168" spans="1:4" x14ac:dyDescent="0.5">
      <c r="A168" s="6" t="s">
        <v>280</v>
      </c>
      <c r="B168" s="13">
        <v>134</v>
      </c>
      <c r="C168" s="13">
        <v>7</v>
      </c>
      <c r="D168" s="13">
        <v>4.2</v>
      </c>
    </row>
    <row r="169" spans="1:4" x14ac:dyDescent="0.5">
      <c r="A169" s="6" t="s">
        <v>85</v>
      </c>
      <c r="B169" s="13">
        <v>2452</v>
      </c>
      <c r="C169" s="13">
        <v>7</v>
      </c>
      <c r="D169" s="13">
        <v>4.3</v>
      </c>
    </row>
    <row r="170" spans="1:4" x14ac:dyDescent="0.5">
      <c r="A170" s="6" t="s">
        <v>108</v>
      </c>
      <c r="B170" s="13">
        <v>1670</v>
      </c>
      <c r="C170" s="13">
        <v>9</v>
      </c>
      <c r="D170" s="13">
        <v>4.3</v>
      </c>
    </row>
    <row r="171" spans="1:4" x14ac:dyDescent="0.5">
      <c r="A171" s="6" t="s">
        <v>122</v>
      </c>
      <c r="B171" s="13">
        <v>267</v>
      </c>
      <c r="C171" s="13">
        <v>36</v>
      </c>
      <c r="D171" s="13">
        <v>4.3</v>
      </c>
    </row>
    <row r="172" spans="1:4" x14ac:dyDescent="0.5">
      <c r="A172" s="6" t="s">
        <v>102</v>
      </c>
      <c r="B172" s="13">
        <v>197</v>
      </c>
      <c r="C172" s="13">
        <v>9</v>
      </c>
      <c r="D172" s="13">
        <v>4.3</v>
      </c>
    </row>
    <row r="173" spans="1:4" x14ac:dyDescent="0.5">
      <c r="A173" s="6" t="s">
        <v>81</v>
      </c>
      <c r="B173" s="13">
        <v>500</v>
      </c>
      <c r="C173" s="13">
        <v>14</v>
      </c>
      <c r="D173" s="13">
        <v>4.4000000000000004</v>
      </c>
    </row>
    <row r="174" spans="1:4" x14ac:dyDescent="0.5">
      <c r="A174" s="6" t="s">
        <v>50</v>
      </c>
      <c r="B174" s="13">
        <v>359</v>
      </c>
      <c r="C174" s="13">
        <v>6</v>
      </c>
      <c r="D174" s="13">
        <v>4.5</v>
      </c>
    </row>
    <row r="175" spans="1:4" x14ac:dyDescent="0.5">
      <c r="A175" s="6" t="s">
        <v>6</v>
      </c>
      <c r="B175" s="13">
        <v>575</v>
      </c>
      <c r="C175" s="13">
        <v>2</v>
      </c>
      <c r="D175" s="13">
        <v>4.5</v>
      </c>
    </row>
    <row r="176" spans="1:4" x14ac:dyDescent="0.5">
      <c r="A176" s="6" t="s">
        <v>114</v>
      </c>
      <c r="B176" s="13">
        <v>719</v>
      </c>
      <c r="C176" s="13">
        <v>32</v>
      </c>
      <c r="D176" s="13">
        <v>4.5</v>
      </c>
    </row>
    <row r="177" spans="1:4" x14ac:dyDescent="0.5">
      <c r="A177" s="6" t="s">
        <v>125</v>
      </c>
      <c r="B177" s="13">
        <v>900</v>
      </c>
      <c r="C177" s="13">
        <v>2</v>
      </c>
      <c r="D177" s="13">
        <v>4.5</v>
      </c>
    </row>
    <row r="178" spans="1:4" x14ac:dyDescent="0.5">
      <c r="A178" s="6" t="s">
        <v>30</v>
      </c>
      <c r="B178" s="13">
        <v>713</v>
      </c>
      <c r="C178" s="13">
        <v>55</v>
      </c>
      <c r="D178" s="13">
        <v>4.5999999999999996</v>
      </c>
    </row>
    <row r="179" spans="1:4" x14ac:dyDescent="0.5">
      <c r="A179" s="6" t="s">
        <v>14</v>
      </c>
      <c r="B179" s="13">
        <v>724</v>
      </c>
      <c r="C179" s="13">
        <v>24</v>
      </c>
      <c r="D179" s="13">
        <v>4.5999999999999996</v>
      </c>
    </row>
    <row r="180" spans="1:4" x14ac:dyDescent="0.5">
      <c r="A180" s="6" t="s">
        <v>66</v>
      </c>
      <c r="B180" s="13">
        <v>700</v>
      </c>
      <c r="C180" s="13">
        <v>5</v>
      </c>
      <c r="D180" s="13">
        <v>4.5999999999999996</v>
      </c>
    </row>
    <row r="181" spans="1:4" x14ac:dyDescent="0.5">
      <c r="A181" s="6" t="s">
        <v>68</v>
      </c>
      <c r="B181" s="13">
        <v>968</v>
      </c>
      <c r="C181" s="13">
        <v>44</v>
      </c>
      <c r="D181" s="13">
        <v>4.5999999999999996</v>
      </c>
    </row>
    <row r="182" spans="1:4" x14ac:dyDescent="0.5">
      <c r="A182" s="6" t="s">
        <v>89</v>
      </c>
      <c r="B182" s="13">
        <v>227</v>
      </c>
      <c r="C182" s="13">
        <v>49</v>
      </c>
      <c r="D182" s="13">
        <v>4.5999999999999996</v>
      </c>
    </row>
    <row r="183" spans="1:4" x14ac:dyDescent="0.5">
      <c r="A183" s="6" t="s">
        <v>111</v>
      </c>
      <c r="B183" s="13">
        <v>710</v>
      </c>
      <c r="C183" s="13">
        <v>20</v>
      </c>
      <c r="D183" s="13">
        <v>4.7</v>
      </c>
    </row>
    <row r="184" spans="1:4" x14ac:dyDescent="0.5">
      <c r="A184" s="6" t="s">
        <v>44</v>
      </c>
      <c r="B184" s="13">
        <v>510</v>
      </c>
      <c r="C184" s="13">
        <v>39</v>
      </c>
      <c r="D184" s="13">
        <v>4.7</v>
      </c>
    </row>
    <row r="185" spans="1:4" x14ac:dyDescent="0.5">
      <c r="A185" s="6" t="s">
        <v>18</v>
      </c>
      <c r="B185" s="13">
        <v>919</v>
      </c>
      <c r="C185" s="13">
        <v>7</v>
      </c>
      <c r="D185" s="13">
        <v>4.7</v>
      </c>
    </row>
    <row r="186" spans="1:4" x14ac:dyDescent="0.5">
      <c r="A186" s="6" t="s">
        <v>105</v>
      </c>
      <c r="B186" s="13">
        <v>510</v>
      </c>
      <c r="C186" s="13">
        <v>12</v>
      </c>
      <c r="D186" s="13">
        <v>4.7</v>
      </c>
    </row>
    <row r="187" spans="1:4" x14ac:dyDescent="0.5">
      <c r="A187" s="6" t="s">
        <v>35</v>
      </c>
      <c r="B187" s="13">
        <v>1526</v>
      </c>
      <c r="C187" s="13">
        <v>5</v>
      </c>
      <c r="D187" s="13">
        <v>4.8</v>
      </c>
    </row>
    <row r="188" spans="1:4" x14ac:dyDescent="0.5">
      <c r="A188" s="6" t="s">
        <v>22</v>
      </c>
      <c r="B188" s="13">
        <v>616</v>
      </c>
      <c r="C188" s="13">
        <v>5</v>
      </c>
      <c r="D188" s="13">
        <v>4.8</v>
      </c>
    </row>
    <row r="189" spans="1:4" x14ac:dyDescent="0.5">
      <c r="A189" s="6" t="s">
        <v>47</v>
      </c>
      <c r="B189" s="13">
        <v>483</v>
      </c>
      <c r="C189" s="13">
        <v>12</v>
      </c>
      <c r="D189" s="13">
        <v>4.8</v>
      </c>
    </row>
    <row r="190" spans="1:4" x14ac:dyDescent="0.5">
      <c r="A190" s="6" t="s">
        <v>63</v>
      </c>
      <c r="B190" s="13">
        <v>1946</v>
      </c>
      <c r="C190" s="13">
        <v>3</v>
      </c>
      <c r="D190" s="13">
        <v>5</v>
      </c>
    </row>
    <row r="191" spans="1:4" x14ac:dyDescent="0.5">
      <c r="A191" s="6" t="s">
        <v>60</v>
      </c>
      <c r="B191" s="13">
        <v>165</v>
      </c>
      <c r="C191" s="13">
        <v>2</v>
      </c>
      <c r="D191" s="13">
        <v>5</v>
      </c>
    </row>
    <row r="192" spans="1:4" x14ac:dyDescent="0.5">
      <c r="A192" s="6" t="s">
        <v>56</v>
      </c>
      <c r="B192" s="13">
        <v>352</v>
      </c>
      <c r="C192" s="13">
        <v>2</v>
      </c>
      <c r="D192" s="13">
        <v>5</v>
      </c>
    </row>
    <row r="193" spans="1:4" x14ac:dyDescent="0.5">
      <c r="A193" s="6" t="s">
        <v>117</v>
      </c>
      <c r="B193" s="13">
        <v>1070</v>
      </c>
      <c r="C193" s="13">
        <v>1</v>
      </c>
      <c r="D193" s="13">
        <v>5</v>
      </c>
    </row>
    <row r="194" spans="1:4" x14ac:dyDescent="0.5">
      <c r="A194" s="6" t="s">
        <v>120</v>
      </c>
      <c r="B194" s="13">
        <v>189</v>
      </c>
      <c r="C194" s="13">
        <v>2</v>
      </c>
      <c r="D194" s="13">
        <v>5</v>
      </c>
    </row>
    <row r="195" spans="1:4" x14ac:dyDescent="0.5">
      <c r="A195" s="6" t="s">
        <v>295</v>
      </c>
      <c r="B195" s="13">
        <v>948</v>
      </c>
      <c r="C195" s="13">
        <v>1</v>
      </c>
      <c r="D195" s="13">
        <v>5</v>
      </c>
    </row>
    <row r="196" spans="1:4" x14ac:dyDescent="0.5">
      <c r="A196" s="6" t="s">
        <v>245</v>
      </c>
      <c r="B196" s="13">
        <v>941</v>
      </c>
      <c r="C196" s="13">
        <v>1</v>
      </c>
      <c r="D196" s="13">
        <v>5</v>
      </c>
    </row>
    <row r="197" spans="1:4" x14ac:dyDescent="0.5">
      <c r="A197" s="6" t="s">
        <v>359</v>
      </c>
      <c r="B197" s="13">
        <v>68615</v>
      </c>
      <c r="C197" s="13">
        <v>1087</v>
      </c>
      <c r="D197" s="13">
        <v>440.09999999999962</v>
      </c>
    </row>
    <row r="200" spans="1:4" ht="17" x14ac:dyDescent="0.5">
      <c r="A200" s="8" t="s">
        <v>378</v>
      </c>
    </row>
    <row r="202" spans="1:4" x14ac:dyDescent="0.5">
      <c r="A202" s="5" t="s">
        <v>355</v>
      </c>
      <c r="B202" t="s">
        <v>342</v>
      </c>
    </row>
    <row r="203" spans="1:4" x14ac:dyDescent="0.5">
      <c r="A203" s="6" t="s">
        <v>194</v>
      </c>
      <c r="B203" s="13">
        <v>69</v>
      </c>
    </row>
    <row r="204" spans="1:4" x14ac:dyDescent="0.5">
      <c r="A204" s="6" t="s">
        <v>30</v>
      </c>
      <c r="B204" s="13">
        <v>55</v>
      </c>
    </row>
    <row r="205" spans="1:4" x14ac:dyDescent="0.5">
      <c r="A205" s="6" t="s">
        <v>89</v>
      </c>
      <c r="B205" s="13">
        <v>49</v>
      </c>
    </row>
    <row r="206" spans="1:4" x14ac:dyDescent="0.5">
      <c r="A206" s="6" t="s">
        <v>68</v>
      </c>
      <c r="B206" s="13">
        <v>44</v>
      </c>
    </row>
    <row r="207" spans="1:4" x14ac:dyDescent="0.5">
      <c r="A207" s="6" t="s">
        <v>44</v>
      </c>
      <c r="B207" s="13">
        <v>39</v>
      </c>
    </row>
    <row r="208" spans="1:4" x14ac:dyDescent="0.5">
      <c r="A208" s="6" t="s">
        <v>122</v>
      </c>
      <c r="B208" s="13">
        <v>36</v>
      </c>
    </row>
    <row r="209" spans="1:2" x14ac:dyDescent="0.5">
      <c r="A209" s="6" t="s">
        <v>114</v>
      </c>
      <c r="B209" s="13">
        <v>32</v>
      </c>
    </row>
    <row r="210" spans="1:2" x14ac:dyDescent="0.5">
      <c r="A210" s="6" t="s">
        <v>14</v>
      </c>
      <c r="B210" s="13">
        <v>24</v>
      </c>
    </row>
    <row r="211" spans="1:2" x14ac:dyDescent="0.5">
      <c r="A211" s="6" t="s">
        <v>111</v>
      </c>
      <c r="B211" s="13">
        <v>20</v>
      </c>
    </row>
    <row r="212" spans="1:2" x14ac:dyDescent="0.5">
      <c r="A212" s="6" t="s">
        <v>97</v>
      </c>
      <c r="B212" s="13">
        <v>20</v>
      </c>
    </row>
    <row r="213" spans="1:2" x14ac:dyDescent="0.5">
      <c r="A213" s="6" t="s">
        <v>215</v>
      </c>
      <c r="B213" s="13">
        <v>17</v>
      </c>
    </row>
    <row r="214" spans="1:2" x14ac:dyDescent="0.5">
      <c r="A214" s="6" t="s">
        <v>202</v>
      </c>
      <c r="B214" s="13">
        <v>16</v>
      </c>
    </row>
    <row r="215" spans="1:2" x14ac:dyDescent="0.5">
      <c r="A215" s="6" t="s">
        <v>26</v>
      </c>
      <c r="B215" s="13">
        <v>15</v>
      </c>
    </row>
    <row r="216" spans="1:2" x14ac:dyDescent="0.5">
      <c r="A216" s="6" t="s">
        <v>198</v>
      </c>
      <c r="B216" s="13">
        <v>15</v>
      </c>
    </row>
    <row r="217" spans="1:2" x14ac:dyDescent="0.5">
      <c r="A217" s="6" t="s">
        <v>81</v>
      </c>
      <c r="B217" s="13">
        <v>14</v>
      </c>
    </row>
    <row r="218" spans="1:2" x14ac:dyDescent="0.5">
      <c r="A218" s="6" t="s">
        <v>10</v>
      </c>
      <c r="B218" s="13">
        <v>14</v>
      </c>
    </row>
    <row r="219" spans="1:2" x14ac:dyDescent="0.5">
      <c r="A219" s="6" t="s">
        <v>190</v>
      </c>
      <c r="B219" s="13">
        <v>13</v>
      </c>
    </row>
    <row r="220" spans="1:2" x14ac:dyDescent="0.5">
      <c r="A220" s="6" t="s">
        <v>95</v>
      </c>
      <c r="B220" s="13">
        <v>13</v>
      </c>
    </row>
    <row r="221" spans="1:2" x14ac:dyDescent="0.5">
      <c r="A221" s="6" t="s">
        <v>71</v>
      </c>
      <c r="B221" s="13">
        <v>13</v>
      </c>
    </row>
    <row r="222" spans="1:2" x14ac:dyDescent="0.5">
      <c r="A222" s="6" t="s">
        <v>42</v>
      </c>
      <c r="B222" s="13">
        <v>12</v>
      </c>
    </row>
    <row r="223" spans="1:2" x14ac:dyDescent="0.5">
      <c r="A223" s="6" t="s">
        <v>47</v>
      </c>
      <c r="B223" s="13">
        <v>12</v>
      </c>
    </row>
    <row r="224" spans="1:2" x14ac:dyDescent="0.5">
      <c r="A224" s="6" t="s">
        <v>105</v>
      </c>
      <c r="B224" s="13">
        <v>12</v>
      </c>
    </row>
    <row r="225" spans="1:2" x14ac:dyDescent="0.5">
      <c r="A225" s="6" t="s">
        <v>92</v>
      </c>
      <c r="B225" s="13">
        <v>12</v>
      </c>
    </row>
    <row r="226" spans="1:2" x14ac:dyDescent="0.5">
      <c r="A226" s="6" t="s">
        <v>186</v>
      </c>
      <c r="B226" s="13">
        <v>10</v>
      </c>
    </row>
    <row r="227" spans="1:2" x14ac:dyDescent="0.5">
      <c r="A227" s="6" t="s">
        <v>53</v>
      </c>
      <c r="B227" s="13">
        <v>9</v>
      </c>
    </row>
    <row r="228" spans="1:2" x14ac:dyDescent="0.5">
      <c r="A228" s="6" t="s">
        <v>102</v>
      </c>
      <c r="B228" s="13">
        <v>9</v>
      </c>
    </row>
    <row r="229" spans="1:2" x14ac:dyDescent="0.5">
      <c r="A229" s="6" t="s">
        <v>108</v>
      </c>
      <c r="B229" s="13">
        <v>9</v>
      </c>
    </row>
    <row r="230" spans="1:2" x14ac:dyDescent="0.5">
      <c r="A230" s="6" t="s">
        <v>328</v>
      </c>
      <c r="B230" s="13">
        <v>7</v>
      </c>
    </row>
    <row r="231" spans="1:2" x14ac:dyDescent="0.5">
      <c r="A231" s="6" t="s">
        <v>131</v>
      </c>
      <c r="B231" s="13">
        <v>7</v>
      </c>
    </row>
    <row r="232" spans="1:2" x14ac:dyDescent="0.5">
      <c r="A232" s="6" t="s">
        <v>229</v>
      </c>
      <c r="B232" s="13">
        <v>7</v>
      </c>
    </row>
    <row r="233" spans="1:2" x14ac:dyDescent="0.5">
      <c r="A233" s="6" t="s">
        <v>277</v>
      </c>
      <c r="B233" s="13">
        <v>7</v>
      </c>
    </row>
    <row r="234" spans="1:2" x14ac:dyDescent="0.5">
      <c r="A234" s="6" t="s">
        <v>287</v>
      </c>
      <c r="B234" s="13">
        <v>7</v>
      </c>
    </row>
    <row r="235" spans="1:2" x14ac:dyDescent="0.5">
      <c r="A235" s="6" t="s">
        <v>145</v>
      </c>
      <c r="B235" s="13">
        <v>7</v>
      </c>
    </row>
    <row r="236" spans="1:2" x14ac:dyDescent="0.5">
      <c r="A236" s="6" t="s">
        <v>160</v>
      </c>
      <c r="B236" s="13">
        <v>7</v>
      </c>
    </row>
    <row r="237" spans="1:2" x14ac:dyDescent="0.5">
      <c r="A237" s="6" t="s">
        <v>240</v>
      </c>
      <c r="B237" s="13">
        <v>7</v>
      </c>
    </row>
    <row r="238" spans="1:2" x14ac:dyDescent="0.5">
      <c r="A238" s="6" t="s">
        <v>209</v>
      </c>
      <c r="B238" s="13">
        <v>7</v>
      </c>
    </row>
    <row r="239" spans="1:2" x14ac:dyDescent="0.5">
      <c r="A239" s="6" t="s">
        <v>292</v>
      </c>
      <c r="B239" s="13">
        <v>7</v>
      </c>
    </row>
    <row r="240" spans="1:2" x14ac:dyDescent="0.5">
      <c r="A240" s="6" t="s">
        <v>85</v>
      </c>
      <c r="B240" s="13">
        <v>7</v>
      </c>
    </row>
    <row r="241" spans="1:2" x14ac:dyDescent="0.5">
      <c r="A241" s="6" t="s">
        <v>298</v>
      </c>
      <c r="B241" s="13">
        <v>7</v>
      </c>
    </row>
    <row r="242" spans="1:2" x14ac:dyDescent="0.5">
      <c r="A242" s="6" t="s">
        <v>248</v>
      </c>
      <c r="B242" s="13">
        <v>7</v>
      </c>
    </row>
    <row r="243" spans="1:2" x14ac:dyDescent="0.5">
      <c r="A243" s="6" t="s">
        <v>251</v>
      </c>
      <c r="B243" s="13">
        <v>7</v>
      </c>
    </row>
    <row r="244" spans="1:2" x14ac:dyDescent="0.5">
      <c r="A244" s="6" t="s">
        <v>256</v>
      </c>
      <c r="B244" s="13">
        <v>7</v>
      </c>
    </row>
    <row r="245" spans="1:2" x14ac:dyDescent="0.5">
      <c r="A245" s="6" t="s">
        <v>175</v>
      </c>
      <c r="B245" s="13">
        <v>7</v>
      </c>
    </row>
    <row r="246" spans="1:2" x14ac:dyDescent="0.5">
      <c r="A246" s="6" t="s">
        <v>301</v>
      </c>
      <c r="B246" s="13">
        <v>7</v>
      </c>
    </row>
    <row r="247" spans="1:2" x14ac:dyDescent="0.5">
      <c r="A247" s="6" t="s">
        <v>289</v>
      </c>
      <c r="B247" s="13">
        <v>7</v>
      </c>
    </row>
    <row r="248" spans="1:2" x14ac:dyDescent="0.5">
      <c r="A248" s="6" t="s">
        <v>284</v>
      </c>
      <c r="B248" s="13">
        <v>7</v>
      </c>
    </row>
    <row r="249" spans="1:2" x14ac:dyDescent="0.5">
      <c r="A249" s="6" t="s">
        <v>137</v>
      </c>
      <c r="B249" s="13">
        <v>7</v>
      </c>
    </row>
    <row r="250" spans="1:2" x14ac:dyDescent="0.5">
      <c r="A250" s="6" t="s">
        <v>232</v>
      </c>
      <c r="B250" s="13">
        <v>7</v>
      </c>
    </row>
    <row r="251" spans="1:2" x14ac:dyDescent="0.5">
      <c r="A251" s="6" t="s">
        <v>320</v>
      </c>
      <c r="B251" s="13">
        <v>7</v>
      </c>
    </row>
    <row r="252" spans="1:2" x14ac:dyDescent="0.5">
      <c r="A252" s="6" t="s">
        <v>75</v>
      </c>
      <c r="B252" s="13">
        <v>7</v>
      </c>
    </row>
    <row r="253" spans="1:2" x14ac:dyDescent="0.5">
      <c r="A253" s="6" t="s">
        <v>128</v>
      </c>
      <c r="B253" s="13">
        <v>7</v>
      </c>
    </row>
    <row r="254" spans="1:2" x14ac:dyDescent="0.5">
      <c r="A254" s="6" t="s">
        <v>316</v>
      </c>
      <c r="B254" s="13">
        <v>7</v>
      </c>
    </row>
    <row r="255" spans="1:2" x14ac:dyDescent="0.5">
      <c r="A255" s="6" t="s">
        <v>307</v>
      </c>
      <c r="B255" s="13">
        <v>7</v>
      </c>
    </row>
    <row r="256" spans="1:2" x14ac:dyDescent="0.5">
      <c r="A256" s="6" t="s">
        <v>314</v>
      </c>
      <c r="B256" s="13">
        <v>7</v>
      </c>
    </row>
    <row r="257" spans="1:2" x14ac:dyDescent="0.5">
      <c r="A257" s="6" t="s">
        <v>177</v>
      </c>
      <c r="B257" s="13">
        <v>7</v>
      </c>
    </row>
    <row r="258" spans="1:2" x14ac:dyDescent="0.5">
      <c r="A258" s="6" t="s">
        <v>269</v>
      </c>
      <c r="B258" s="13">
        <v>7</v>
      </c>
    </row>
    <row r="259" spans="1:2" x14ac:dyDescent="0.5">
      <c r="A259" s="6" t="s">
        <v>134</v>
      </c>
      <c r="B259" s="13">
        <v>7</v>
      </c>
    </row>
    <row r="260" spans="1:2" x14ac:dyDescent="0.5">
      <c r="A260" s="6" t="s">
        <v>282</v>
      </c>
      <c r="B260" s="13">
        <v>7</v>
      </c>
    </row>
    <row r="261" spans="1:2" x14ac:dyDescent="0.5">
      <c r="A261" s="6" t="s">
        <v>266</v>
      </c>
      <c r="B261" s="13">
        <v>7</v>
      </c>
    </row>
    <row r="262" spans="1:2" x14ac:dyDescent="0.5">
      <c r="A262" s="6" t="s">
        <v>272</v>
      </c>
      <c r="B262" s="13">
        <v>7</v>
      </c>
    </row>
    <row r="263" spans="1:2" x14ac:dyDescent="0.5">
      <c r="A263" s="6" t="s">
        <v>304</v>
      </c>
      <c r="B263" s="13">
        <v>7</v>
      </c>
    </row>
    <row r="264" spans="1:2" x14ac:dyDescent="0.5">
      <c r="A264" s="6" t="s">
        <v>165</v>
      </c>
      <c r="B264" s="13">
        <v>7</v>
      </c>
    </row>
    <row r="265" spans="1:2" x14ac:dyDescent="0.5">
      <c r="A265" s="6" t="s">
        <v>274</v>
      </c>
      <c r="B265" s="13">
        <v>7</v>
      </c>
    </row>
    <row r="266" spans="1:2" x14ac:dyDescent="0.5">
      <c r="A266" s="6" t="s">
        <v>261</v>
      </c>
      <c r="B266" s="13">
        <v>7</v>
      </c>
    </row>
    <row r="267" spans="1:2" x14ac:dyDescent="0.5">
      <c r="A267" s="6" t="s">
        <v>312</v>
      </c>
      <c r="B267" s="13">
        <v>7</v>
      </c>
    </row>
    <row r="268" spans="1:2" x14ac:dyDescent="0.5">
      <c r="A268" s="6" t="s">
        <v>163</v>
      </c>
      <c r="B268" s="13">
        <v>7</v>
      </c>
    </row>
    <row r="269" spans="1:2" x14ac:dyDescent="0.5">
      <c r="A269" s="6" t="s">
        <v>151</v>
      </c>
      <c r="B269" s="13">
        <v>7</v>
      </c>
    </row>
    <row r="270" spans="1:2" x14ac:dyDescent="0.5">
      <c r="A270" s="6" t="s">
        <v>235</v>
      </c>
      <c r="B270" s="13">
        <v>7</v>
      </c>
    </row>
    <row r="271" spans="1:2" x14ac:dyDescent="0.5">
      <c r="A271" s="6" t="s">
        <v>168</v>
      </c>
      <c r="B271" s="13">
        <v>7</v>
      </c>
    </row>
    <row r="272" spans="1:2" x14ac:dyDescent="0.5">
      <c r="A272" s="6" t="s">
        <v>264</v>
      </c>
      <c r="B272" s="13">
        <v>7</v>
      </c>
    </row>
    <row r="273" spans="1:2" x14ac:dyDescent="0.5">
      <c r="A273" s="6" t="s">
        <v>278</v>
      </c>
      <c r="B273" s="13">
        <v>7</v>
      </c>
    </row>
    <row r="274" spans="1:2" x14ac:dyDescent="0.5">
      <c r="A274" s="6" t="s">
        <v>310</v>
      </c>
      <c r="B274" s="13">
        <v>7</v>
      </c>
    </row>
    <row r="275" spans="1:2" x14ac:dyDescent="0.5">
      <c r="A275" s="6" t="s">
        <v>140</v>
      </c>
      <c r="B275" s="13">
        <v>7</v>
      </c>
    </row>
    <row r="276" spans="1:2" x14ac:dyDescent="0.5">
      <c r="A276" s="6" t="s">
        <v>143</v>
      </c>
      <c r="B276" s="13">
        <v>7</v>
      </c>
    </row>
    <row r="277" spans="1:2" x14ac:dyDescent="0.5">
      <c r="A277" s="6" t="s">
        <v>170</v>
      </c>
      <c r="B277" s="13">
        <v>7</v>
      </c>
    </row>
    <row r="278" spans="1:2" x14ac:dyDescent="0.5">
      <c r="A278" s="6" t="s">
        <v>173</v>
      </c>
      <c r="B278" s="13">
        <v>7</v>
      </c>
    </row>
    <row r="279" spans="1:2" x14ac:dyDescent="0.5">
      <c r="A279" s="6" t="s">
        <v>154</v>
      </c>
      <c r="B279" s="13">
        <v>7</v>
      </c>
    </row>
    <row r="280" spans="1:2" x14ac:dyDescent="0.5">
      <c r="A280" s="6" t="s">
        <v>157</v>
      </c>
      <c r="B280" s="13">
        <v>7</v>
      </c>
    </row>
    <row r="281" spans="1:2" x14ac:dyDescent="0.5">
      <c r="A281" s="6" t="s">
        <v>280</v>
      </c>
      <c r="B281" s="13">
        <v>7</v>
      </c>
    </row>
    <row r="282" spans="1:2" x14ac:dyDescent="0.5">
      <c r="A282" s="6" t="s">
        <v>148</v>
      </c>
      <c r="B282" s="13">
        <v>7</v>
      </c>
    </row>
    <row r="283" spans="1:2" x14ac:dyDescent="0.5">
      <c r="A283" s="6" t="s">
        <v>18</v>
      </c>
      <c r="B283" s="13">
        <v>7</v>
      </c>
    </row>
    <row r="284" spans="1:2" x14ac:dyDescent="0.5">
      <c r="A284" s="6" t="s">
        <v>258</v>
      </c>
      <c r="B284" s="13">
        <v>7</v>
      </c>
    </row>
    <row r="285" spans="1:2" x14ac:dyDescent="0.5">
      <c r="A285" s="6" t="s">
        <v>237</v>
      </c>
      <c r="B285" s="13">
        <v>7</v>
      </c>
    </row>
    <row r="286" spans="1:2" x14ac:dyDescent="0.5">
      <c r="A286" s="6" t="s">
        <v>182</v>
      </c>
      <c r="B286" s="13">
        <v>6</v>
      </c>
    </row>
    <row r="287" spans="1:2" x14ac:dyDescent="0.5">
      <c r="A287" s="6" t="s">
        <v>206</v>
      </c>
      <c r="B287" s="13">
        <v>6</v>
      </c>
    </row>
    <row r="288" spans="1:2" x14ac:dyDescent="0.5">
      <c r="A288" s="6" t="s">
        <v>221</v>
      </c>
      <c r="B288" s="13">
        <v>6</v>
      </c>
    </row>
    <row r="289" spans="1:2" x14ac:dyDescent="0.5">
      <c r="A289" s="6" t="s">
        <v>50</v>
      </c>
      <c r="B289" s="13">
        <v>6</v>
      </c>
    </row>
    <row r="290" spans="1:2" x14ac:dyDescent="0.5">
      <c r="A290" s="6" t="s">
        <v>78</v>
      </c>
      <c r="B290" s="13">
        <v>6</v>
      </c>
    </row>
    <row r="291" spans="1:2" x14ac:dyDescent="0.5">
      <c r="A291" s="6" t="s">
        <v>227</v>
      </c>
      <c r="B291" s="13">
        <v>6</v>
      </c>
    </row>
    <row r="292" spans="1:2" x14ac:dyDescent="0.5">
      <c r="A292" s="6" t="s">
        <v>38</v>
      </c>
      <c r="B292" s="13">
        <v>5</v>
      </c>
    </row>
    <row r="293" spans="1:2" x14ac:dyDescent="0.5">
      <c r="A293" s="6" t="s">
        <v>212</v>
      </c>
      <c r="B293" s="13">
        <v>5</v>
      </c>
    </row>
    <row r="294" spans="1:2" x14ac:dyDescent="0.5">
      <c r="A294" s="6" t="s">
        <v>218</v>
      </c>
      <c r="B294" s="13">
        <v>5</v>
      </c>
    </row>
    <row r="295" spans="1:2" x14ac:dyDescent="0.5">
      <c r="A295" s="6" t="s">
        <v>35</v>
      </c>
      <c r="B295" s="13">
        <v>5</v>
      </c>
    </row>
    <row r="296" spans="1:2" x14ac:dyDescent="0.5">
      <c r="A296" s="6" t="s">
        <v>22</v>
      </c>
      <c r="B296" s="13">
        <v>5</v>
      </c>
    </row>
    <row r="297" spans="1:2" x14ac:dyDescent="0.5">
      <c r="A297" s="6" t="s">
        <v>224</v>
      </c>
      <c r="B297" s="13">
        <v>5</v>
      </c>
    </row>
    <row r="298" spans="1:2" x14ac:dyDescent="0.5">
      <c r="A298" s="6" t="s">
        <v>66</v>
      </c>
      <c r="B298" s="13">
        <v>5</v>
      </c>
    </row>
    <row r="299" spans="1:2" x14ac:dyDescent="0.5">
      <c r="A299" s="6" t="s">
        <v>63</v>
      </c>
      <c r="B299" s="13">
        <v>3</v>
      </c>
    </row>
    <row r="300" spans="1:2" x14ac:dyDescent="0.5">
      <c r="A300" s="6" t="s">
        <v>56</v>
      </c>
      <c r="B300" s="13">
        <v>2</v>
      </c>
    </row>
    <row r="301" spans="1:2" x14ac:dyDescent="0.5">
      <c r="A301" s="6" t="s">
        <v>120</v>
      </c>
      <c r="B301" s="13">
        <v>2</v>
      </c>
    </row>
    <row r="302" spans="1:2" x14ac:dyDescent="0.5">
      <c r="A302" s="6" t="s">
        <v>60</v>
      </c>
      <c r="B302" s="13">
        <v>2</v>
      </c>
    </row>
    <row r="303" spans="1:2" x14ac:dyDescent="0.5">
      <c r="A303" s="6" t="s">
        <v>33</v>
      </c>
      <c r="B303" s="13">
        <v>2</v>
      </c>
    </row>
    <row r="304" spans="1:2" x14ac:dyDescent="0.5">
      <c r="A304" s="6" t="s">
        <v>6</v>
      </c>
      <c r="B304" s="13">
        <v>2</v>
      </c>
    </row>
    <row r="305" spans="1:2" x14ac:dyDescent="0.5">
      <c r="A305" s="6" t="s">
        <v>125</v>
      </c>
      <c r="B305" s="13">
        <v>2</v>
      </c>
    </row>
    <row r="306" spans="1:2" x14ac:dyDescent="0.5">
      <c r="A306" s="6" t="s">
        <v>253</v>
      </c>
      <c r="B306" s="13">
        <v>1</v>
      </c>
    </row>
    <row r="307" spans="1:2" x14ac:dyDescent="0.5">
      <c r="A307" s="6" t="s">
        <v>245</v>
      </c>
      <c r="B307" s="13">
        <v>1</v>
      </c>
    </row>
    <row r="308" spans="1:2" x14ac:dyDescent="0.5">
      <c r="A308" s="6" t="s">
        <v>117</v>
      </c>
      <c r="B308" s="13">
        <v>1</v>
      </c>
    </row>
    <row r="309" spans="1:2" x14ac:dyDescent="0.5">
      <c r="A309" s="6" t="s">
        <v>318</v>
      </c>
      <c r="B309" s="13">
        <v>1</v>
      </c>
    </row>
    <row r="310" spans="1:2" x14ac:dyDescent="0.5">
      <c r="A310" s="6" t="s">
        <v>295</v>
      </c>
      <c r="B310" s="13">
        <v>1</v>
      </c>
    </row>
    <row r="311" spans="1:2" x14ac:dyDescent="0.5">
      <c r="A311" s="6" t="s">
        <v>243</v>
      </c>
      <c r="B311" s="13">
        <v>1</v>
      </c>
    </row>
    <row r="312" spans="1:2" x14ac:dyDescent="0.5">
      <c r="A312" s="6" t="s">
        <v>359</v>
      </c>
      <c r="B312" s="13">
        <v>1087</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AFED0-4EF5-4587-89FD-CA54317BB0D2}">
  <dimension ref="A1:K111"/>
  <sheetViews>
    <sheetView tabSelected="1" workbookViewId="0">
      <pane ySplit="1" topLeftCell="A2" activePane="bottomLeft" state="frozen"/>
      <selection pane="bottomLeft" activeCell="E2" sqref="E2"/>
    </sheetView>
  </sheetViews>
  <sheetFormatPr defaultRowHeight="16.5" x14ac:dyDescent="0.5"/>
  <cols>
    <col min="1" max="1" width="86.26953125" customWidth="1"/>
    <col min="2" max="5" width="18.26953125" customWidth="1"/>
    <col min="6" max="6" width="18.26953125" style="3" customWidth="1"/>
    <col min="7" max="7" width="10.6328125" hidden="1" customWidth="1"/>
    <col min="8" max="8" width="10.6328125" customWidth="1"/>
    <col min="9" max="9" width="9.1796875" customWidth="1"/>
    <col min="10" max="10" width="9.6328125" customWidth="1"/>
  </cols>
  <sheetData>
    <row r="1" spans="1:11" x14ac:dyDescent="0.5">
      <c r="A1" t="s">
        <v>323</v>
      </c>
      <c r="B1" t="s">
        <v>324</v>
      </c>
      <c r="C1" t="s">
        <v>325</v>
      </c>
      <c r="D1" t="s">
        <v>334</v>
      </c>
      <c r="E1" t="s">
        <v>330</v>
      </c>
      <c r="F1" s="3" t="s">
        <v>331</v>
      </c>
      <c r="G1" t="s">
        <v>329</v>
      </c>
      <c r="H1" t="s">
        <v>333</v>
      </c>
      <c r="I1" t="s">
        <v>326</v>
      </c>
      <c r="J1" t="s">
        <v>327</v>
      </c>
      <c r="K1" t="s">
        <v>332</v>
      </c>
    </row>
    <row r="2" spans="1:11" x14ac:dyDescent="0.5">
      <c r="A2" t="s">
        <v>125</v>
      </c>
      <c r="B2">
        <v>1800</v>
      </c>
      <c r="C2">
        <v>2700</v>
      </c>
      <c r="D2" t="str" cm="1">
        <f t="array" ref="D2">_xlfn.IFS(Table1[[#This Row],[current_price]]&lt;=500,"Inexpensive",Table1[[#This Row],[current_price]]&lt;=1500,"Moderate",Table1[[#This Row],[current_price]]&gt;1500,"Expensive")</f>
        <v>Expensive</v>
      </c>
      <c r="E2">
        <f>Table1[[#This Row],[old_price]]-Table1[[#This Row],[current_price]]</f>
        <v>900</v>
      </c>
      <c r="F2" s="4">
        <f>Table1[[#This Row],[discount_calc]]/Table1[[#This Row],[old_price]]</f>
        <v>0.33333333333333331</v>
      </c>
      <c r="G2" s="1">
        <v>0.38</v>
      </c>
      <c r="H2" s="1" t="str">
        <f>H3</f>
        <v>Medium</v>
      </c>
      <c r="I2">
        <v>2</v>
      </c>
      <c r="J2">
        <v>4.5</v>
      </c>
      <c r="K2" t="str" cm="1">
        <f t="array" ref="K2">_xlfn.IFS(Table1[[#This Row],[rating]]&lt;=3,"Poor", Table1[[#This Row],[rating]]&lt;=4.2,"Average", Table1[[#This Row],[rating]]&gt;4.2,"Excellent")</f>
        <v>Excellent</v>
      </c>
    </row>
    <row r="3" spans="1:11" x14ac:dyDescent="0.5">
      <c r="A3" t="s">
        <v>44</v>
      </c>
      <c r="B3">
        <v>990</v>
      </c>
      <c r="C3" s="2">
        <v>1500</v>
      </c>
      <c r="D3" s="2" t="str" cm="1">
        <f t="array" ref="D3">_xlfn.IFS(Table1[[#This Row],[current_price]]&lt;=500,"Inexpensive",Table1[[#This Row],[current_price]]&lt;=1500,"Moderate",Table1[[#This Row],[current_price]]&gt;1500,"Expensive")</f>
        <v>Moderate</v>
      </c>
      <c r="E3" s="2">
        <f>Table1[[#This Row],[old_price]]-Table1[[#This Row],[current_price]]</f>
        <v>510</v>
      </c>
      <c r="F3" s="3">
        <f>Table1[[#This Row],[discount_calc]]/Table1[[#This Row],[old_price]]</f>
        <v>0.34</v>
      </c>
      <c r="G3" s="1">
        <v>0.34</v>
      </c>
      <c r="H3" s="1" t="str" cm="1">
        <f t="array" ref="H3">_xlfn.IFS(Table1[[#This Row],[%discount_calc]]&lt;20%,"Low",Table1[[#This Row],[%discount_calc]]&lt;=40%,"Medium",Table1[[#This Row],[%discount_calc]]&gt;40%,"High")</f>
        <v>Medium</v>
      </c>
      <c r="I3">
        <v>39</v>
      </c>
      <c r="J3">
        <v>4.7</v>
      </c>
      <c r="K3" t="str" cm="1">
        <f t="array" ref="K3">_xlfn.IFS(Table1[[#This Row],[rating]]&lt;=3,"Poor", Table1[[#This Row],[rating]]&lt;=4.2,"Average", Table1[[#This Row],[rating]]&gt;4.2,"Excellent")</f>
        <v>Excellent</v>
      </c>
    </row>
    <row r="4" spans="1:11" x14ac:dyDescent="0.5">
      <c r="A4" t="s">
        <v>6</v>
      </c>
      <c r="B4">
        <v>950</v>
      </c>
      <c r="C4" s="2">
        <v>1525</v>
      </c>
      <c r="D4" s="2" t="str" cm="1">
        <f t="array" ref="D4">_xlfn.IFS(Table1[[#This Row],[current_price]]&lt;=500,"Inexpensive",Table1[[#This Row],[current_price]]&lt;=1500,"Moderate",Table1[[#This Row],[current_price]]&gt;1500,"Expensive")</f>
        <v>Moderate</v>
      </c>
      <c r="E4" s="2">
        <f>Table1[[#This Row],[old_price]]-Table1[[#This Row],[current_price]]</f>
        <v>575</v>
      </c>
      <c r="F4" s="3">
        <f>Table1[[#This Row],[discount_calc]]/Table1[[#This Row],[old_price]]</f>
        <v>0.37704918032786883</v>
      </c>
      <c r="G4" s="1">
        <v>0.38</v>
      </c>
      <c r="H4" s="1" t="str" cm="1">
        <f t="array" ref="H4">_xlfn.IFS(Table1[[#This Row],[%discount_calc]]&lt;20%,"Low",Table1[[#This Row],[%discount_calc]]&lt;=40%,"Medium",Table1[[#This Row],[%discount_calc]]&gt;40%,"High")</f>
        <v>Medium</v>
      </c>
      <c r="I4">
        <v>2</v>
      </c>
      <c r="J4">
        <v>4.5</v>
      </c>
      <c r="K4" t="str" cm="1">
        <f t="array" ref="K4">_xlfn.IFS(Table1[[#This Row],[rating]]&lt;=3,"Poor", Table1[[#This Row],[rating]]&lt;=4.2,"Average", Table1[[#This Row],[rating]]&gt;4.2,"Excellent")</f>
        <v>Excellent</v>
      </c>
    </row>
    <row r="5" spans="1:11" x14ac:dyDescent="0.5">
      <c r="A5" t="s">
        <v>95</v>
      </c>
      <c r="B5" s="2">
        <v>1350</v>
      </c>
      <c r="C5" s="2">
        <v>1990</v>
      </c>
      <c r="D5" s="2" t="str" cm="1">
        <f t="array" ref="D5">_xlfn.IFS(Table1[[#This Row],[current_price]]&lt;=500,"Inexpensive",Table1[[#This Row],[current_price]]&lt;=1500,"Moderate",Table1[[#This Row],[current_price]]&gt;1500,"Expensive")</f>
        <v>Moderate</v>
      </c>
      <c r="E5" s="2">
        <f>Table1[[#This Row],[old_price]]-Table1[[#This Row],[current_price]]</f>
        <v>640</v>
      </c>
      <c r="F5" s="3">
        <f>Table1[[#This Row],[discount_calc]]/Table1[[#This Row],[old_price]]</f>
        <v>0.32160804020100503</v>
      </c>
      <c r="G5" s="1">
        <v>0.32</v>
      </c>
      <c r="H5" s="1" t="str" cm="1">
        <f t="array" ref="H5">_xlfn.IFS(Table1[[#This Row],[%discount_calc]]&lt;20%,"Low",Table1[[#This Row],[%discount_calc]]&lt;=40%,"Medium",Table1[[#This Row],[%discount_calc]]&gt;40%,"High")</f>
        <v>Medium</v>
      </c>
      <c r="I5">
        <v>13</v>
      </c>
      <c r="J5">
        <v>3.8</v>
      </c>
      <c r="K5" t="str" cm="1">
        <f t="array" ref="K5">_xlfn.IFS(Table1[[#This Row],[rating]]&lt;=3,"Poor", Table1[[#This Row],[rating]]&lt;=4.2,"Average", Table1[[#This Row],[rating]]&gt;4.2,"Excellent")</f>
        <v>Average</v>
      </c>
    </row>
    <row r="6" spans="1:11" x14ac:dyDescent="0.5">
      <c r="A6" t="s">
        <v>105</v>
      </c>
      <c r="B6">
        <v>980</v>
      </c>
      <c r="C6" s="2">
        <v>1490</v>
      </c>
      <c r="D6" s="2" t="str" cm="1">
        <f t="array" ref="D6">_xlfn.IFS(Table1[[#This Row],[current_price]]&lt;=500,"Inexpensive",Table1[[#This Row],[current_price]]&lt;=1500,"Moderate",Table1[[#This Row],[current_price]]&gt;1500,"Expensive")</f>
        <v>Moderate</v>
      </c>
      <c r="E6" s="2">
        <f>Table1[[#This Row],[old_price]]-Table1[[#This Row],[current_price]]</f>
        <v>510</v>
      </c>
      <c r="F6" s="3">
        <f>Table1[[#This Row],[discount_calc]]/Table1[[#This Row],[old_price]]</f>
        <v>0.34228187919463088</v>
      </c>
      <c r="G6" s="1">
        <v>0.34</v>
      </c>
      <c r="H6" s="1" t="str" cm="1">
        <f t="array" ref="H6">_xlfn.IFS(Table1[[#This Row],[%discount_calc]]&lt;20%,"Low",Table1[[#This Row],[%discount_calc]]&lt;=40%,"Medium",Table1[[#This Row],[%discount_calc]]&gt;40%,"High")</f>
        <v>Medium</v>
      </c>
      <c r="I6">
        <v>12</v>
      </c>
      <c r="J6">
        <v>4.7</v>
      </c>
      <c r="K6" t="str" cm="1">
        <f t="array" ref="K6">_xlfn.IFS(Table1[[#This Row],[rating]]&lt;=3,"Poor", Table1[[#This Row],[rating]]&lt;=4.2,"Average", Table1[[#This Row],[rating]]&gt;4.2,"Excellent")</f>
        <v>Excellent</v>
      </c>
    </row>
    <row r="7" spans="1:11" x14ac:dyDescent="0.5">
      <c r="A7" t="s">
        <v>194</v>
      </c>
      <c r="B7">
        <v>445</v>
      </c>
      <c r="C7">
        <v>873</v>
      </c>
      <c r="D7" t="str" cm="1">
        <f t="array" ref="D7">_xlfn.IFS(Table1[[#This Row],[current_price]]&lt;=500,"Inexpensive",Table1[[#This Row],[current_price]]&lt;=1500,"Moderate",Table1[[#This Row],[current_price]]&gt;1500,"Expensive")</f>
        <v>Inexpensive</v>
      </c>
      <c r="E7">
        <f>Table1[[#This Row],[old_price]]-Table1[[#This Row],[current_price]]</f>
        <v>428</v>
      </c>
      <c r="F7" s="3">
        <f>Table1[[#This Row],[discount_calc]]/Table1[[#This Row],[old_price]]</f>
        <v>0.49026345933562426</v>
      </c>
      <c r="G7" s="1">
        <v>0.49</v>
      </c>
      <c r="H7" s="1" t="str" cm="1">
        <f t="array" ref="H7">_xlfn.IFS(Table1[[#This Row],[%discount_calc]]&lt;20%,"Low",Table1[[#This Row],[%discount_calc]]&lt;=40%,"Medium",Table1[[#This Row],[%discount_calc]]&gt;40%,"High")</f>
        <v>High</v>
      </c>
      <c r="I7">
        <v>69</v>
      </c>
      <c r="J7">
        <v>2.8</v>
      </c>
      <c r="K7" t="str" cm="1">
        <f t="array" ref="K7">_xlfn.IFS(Table1[[#This Row],[rating]]&lt;=3,"Poor", Table1[[#This Row],[rating]]&lt;=4.2,"Average", Table1[[#This Row],[rating]]&gt;4.2,"Excellent")</f>
        <v>Poor</v>
      </c>
    </row>
    <row r="8" spans="1:11" x14ac:dyDescent="0.5">
      <c r="A8" t="s">
        <v>177</v>
      </c>
      <c r="B8" s="2">
        <v>2799</v>
      </c>
      <c r="C8" s="2">
        <v>3810</v>
      </c>
      <c r="D8" s="2" t="str" cm="1">
        <f t="array" ref="D8">_xlfn.IFS(Table1[[#This Row],[current_price]]&lt;=500,"Inexpensive",Table1[[#This Row],[current_price]]&lt;=1500,"Moderate",Table1[[#This Row],[current_price]]&gt;1500,"Expensive")</f>
        <v>Expensive</v>
      </c>
      <c r="E8" s="2">
        <f>Table1[[#This Row],[old_price]]-Table1[[#This Row],[current_price]]</f>
        <v>1011</v>
      </c>
      <c r="F8" s="3">
        <f>Table1[[#This Row],[discount_calc]]/Table1[[#This Row],[old_price]]</f>
        <v>0.26535433070866143</v>
      </c>
      <c r="G8" s="1">
        <v>0.27</v>
      </c>
      <c r="H8" s="1" t="str" cm="1">
        <f t="array" ref="H8">_xlfn.IFS(Table1[[#This Row],[%discount_calc]]&lt;20%,"Low",Table1[[#This Row],[%discount_calc]]&lt;=40%,"Medium",Table1[[#This Row],[%discount_calc]]&gt;40%,"High")</f>
        <v>Medium</v>
      </c>
      <c r="I8">
        <v>7</v>
      </c>
      <c r="J8">
        <v>4.2</v>
      </c>
      <c r="K8" t="str" cm="1">
        <f t="array" ref="K8">_xlfn.IFS(Table1[[#This Row],[rating]]&lt;=3,"Poor", Table1[[#This Row],[rating]]&lt;=4.2,"Average", Table1[[#This Row],[rating]]&gt;4.2,"Excellent")</f>
        <v>Average</v>
      </c>
    </row>
    <row r="9" spans="1:11" x14ac:dyDescent="0.5">
      <c r="A9" t="s">
        <v>38</v>
      </c>
      <c r="B9" s="2">
        <v>1600</v>
      </c>
      <c r="C9" s="2">
        <v>2929</v>
      </c>
      <c r="D9" s="2" t="str" cm="1">
        <f t="array" ref="D9">_xlfn.IFS(Table1[[#This Row],[current_price]]&lt;=500,"Inexpensive",Table1[[#This Row],[current_price]]&lt;=1500,"Moderate",Table1[[#This Row],[current_price]]&gt;1500,"Expensive")</f>
        <v>Expensive</v>
      </c>
      <c r="E9" s="2">
        <f>Table1[[#This Row],[old_price]]-Table1[[#This Row],[current_price]]</f>
        <v>1329</v>
      </c>
      <c r="F9" s="3">
        <f>Table1[[#This Row],[discount_calc]]/Table1[[#This Row],[old_price]]</f>
        <v>0.45373847729600547</v>
      </c>
      <c r="G9" s="1">
        <v>0.45</v>
      </c>
      <c r="H9" s="1" t="str" cm="1">
        <f t="array" ref="H9">_xlfn.IFS(Table1[[#This Row],[%discount_calc]]&lt;20%,"Low",Table1[[#This Row],[%discount_calc]]&lt;=40%,"Medium",Table1[[#This Row],[%discount_calc]]&gt;40%,"High")</f>
        <v>High</v>
      </c>
      <c r="I9">
        <v>5</v>
      </c>
      <c r="J9">
        <v>3.8</v>
      </c>
      <c r="K9" t="str" cm="1">
        <f t="array" ref="K9">_xlfn.IFS(Table1[[#This Row],[rating]]&lt;=3,"Poor", Table1[[#This Row],[rating]]&lt;=4.2,"Average", Table1[[#This Row],[rating]]&gt;4.2,"Excellent")</f>
        <v>Average</v>
      </c>
    </row>
    <row r="10" spans="1:11" x14ac:dyDescent="0.5">
      <c r="A10" t="s">
        <v>30</v>
      </c>
      <c r="B10" s="2">
        <v>2319</v>
      </c>
      <c r="C10" s="2">
        <v>3032</v>
      </c>
      <c r="D10" s="2" t="str" cm="1">
        <f t="array" ref="D10">_xlfn.IFS(Table1[[#This Row],[current_price]]&lt;=500,"Inexpensive",Table1[[#This Row],[current_price]]&lt;=1500,"Moderate",Table1[[#This Row],[current_price]]&gt;1500,"Expensive")</f>
        <v>Expensive</v>
      </c>
      <c r="E10" s="2">
        <f>Table1[[#This Row],[old_price]]-Table1[[#This Row],[current_price]]</f>
        <v>713</v>
      </c>
      <c r="F10" s="3">
        <f>Table1[[#This Row],[discount_calc]]/Table1[[#This Row],[old_price]]</f>
        <v>0.23515831134564644</v>
      </c>
      <c r="G10" s="1">
        <v>0.24</v>
      </c>
      <c r="H10" s="1" t="str" cm="1">
        <f t="array" ref="H10">_xlfn.IFS(Table1[[#This Row],[%discount_calc]]&lt;20%,"Low",Table1[[#This Row],[%discount_calc]]&lt;=40%,"Medium",Table1[[#This Row],[%discount_calc]]&gt;40%,"High")</f>
        <v>Medium</v>
      </c>
      <c r="I10">
        <v>55</v>
      </c>
      <c r="J10">
        <v>4.5999999999999996</v>
      </c>
      <c r="K10" t="str" cm="1">
        <f t="array" ref="K10">_xlfn.IFS(Table1[[#This Row],[rating]]&lt;=3,"Poor", Table1[[#This Row],[rating]]&lt;=4.2,"Average", Table1[[#This Row],[rating]]&gt;4.2,"Excellent")</f>
        <v>Excellent</v>
      </c>
    </row>
    <row r="11" spans="1:11" x14ac:dyDescent="0.5">
      <c r="A11" t="s">
        <v>304</v>
      </c>
      <c r="B11">
        <v>198</v>
      </c>
      <c r="C11">
        <v>260</v>
      </c>
      <c r="D11" t="str" cm="1">
        <f t="array" ref="D11">_xlfn.IFS(Table1[[#This Row],[current_price]]&lt;=500,"Inexpensive",Table1[[#This Row],[current_price]]&lt;=1500,"Moderate",Table1[[#This Row],[current_price]]&gt;1500,"Expensive")</f>
        <v>Inexpensive</v>
      </c>
      <c r="E11">
        <f>Table1[[#This Row],[old_price]]-Table1[[#This Row],[current_price]]</f>
        <v>62</v>
      </c>
      <c r="F11" s="3">
        <f>Table1[[#This Row],[discount_calc]]/Table1[[#This Row],[old_price]]</f>
        <v>0.23846153846153847</v>
      </c>
      <c r="G11" s="1">
        <v>0.24</v>
      </c>
      <c r="H11" s="1" t="str" cm="1">
        <f t="array" ref="H11">_xlfn.IFS(Table1[[#This Row],[%discount_calc]]&lt;20%,"Low",Table1[[#This Row],[%discount_calc]]&lt;=40%,"Medium",Table1[[#This Row],[%discount_calc]]&gt;40%,"High")</f>
        <v>Medium</v>
      </c>
      <c r="I11">
        <v>7</v>
      </c>
      <c r="J11">
        <v>4.2</v>
      </c>
      <c r="K11" t="str" cm="1">
        <f t="array" ref="K11">_xlfn.IFS(Table1[[#This Row],[rating]]&lt;=3,"Poor", Table1[[#This Row],[rating]]&lt;=4.2,"Average", Table1[[#This Row],[rating]]&gt;4.2,"Excellent")</f>
        <v>Average</v>
      </c>
    </row>
    <row r="12" spans="1:11" x14ac:dyDescent="0.5">
      <c r="A12" t="s">
        <v>251</v>
      </c>
      <c r="B12" s="2">
        <v>1666</v>
      </c>
      <c r="C12" s="2">
        <v>1699</v>
      </c>
      <c r="D12" s="2" t="str" cm="1">
        <f t="array" ref="D12">_xlfn.IFS(Table1[[#This Row],[current_price]]&lt;=500,"Inexpensive",Table1[[#This Row],[current_price]]&lt;=1500,"Moderate",Table1[[#This Row],[current_price]]&gt;1500,"Expensive")</f>
        <v>Expensive</v>
      </c>
      <c r="E12" s="2">
        <f>Table1[[#This Row],[old_price]]-Table1[[#This Row],[current_price]]</f>
        <v>33</v>
      </c>
      <c r="F12" s="3">
        <f>Table1[[#This Row],[discount_calc]]/Table1[[#This Row],[old_price]]</f>
        <v>1.9423190111830489E-2</v>
      </c>
      <c r="G12" s="1">
        <v>0.02</v>
      </c>
      <c r="H12" s="1" t="str" cm="1">
        <f t="array" ref="H12">_xlfn.IFS(Table1[[#This Row],[%discount_calc]]&lt;20%,"Low",Table1[[#This Row],[%discount_calc]]&lt;=40%,"Medium",Table1[[#This Row],[%discount_calc]]&gt;40%,"High")</f>
        <v>Low</v>
      </c>
      <c r="I12">
        <v>7</v>
      </c>
      <c r="J12">
        <v>4.2</v>
      </c>
      <c r="K12" t="str" cm="1">
        <f t="array" ref="K12">_xlfn.IFS(Table1[[#This Row],[rating]]&lt;=3,"Poor", Table1[[#This Row],[rating]]&lt;=4.2,"Average", Table1[[#This Row],[rating]]&gt;4.2,"Excellent")</f>
        <v>Average</v>
      </c>
    </row>
    <row r="13" spans="1:11" x14ac:dyDescent="0.5">
      <c r="A13" t="s">
        <v>26</v>
      </c>
      <c r="B13" s="2">
        <v>2999</v>
      </c>
      <c r="C13" s="2">
        <v>3290</v>
      </c>
      <c r="D13" s="2" t="str" cm="1">
        <f t="array" ref="D13">_xlfn.IFS(Table1[[#This Row],[current_price]]&lt;=500,"Inexpensive",Table1[[#This Row],[current_price]]&lt;=1500,"Moderate",Table1[[#This Row],[current_price]]&gt;1500,"Expensive")</f>
        <v>Expensive</v>
      </c>
      <c r="E13" s="2">
        <f>Table1[[#This Row],[old_price]]-Table1[[#This Row],[current_price]]</f>
        <v>291</v>
      </c>
      <c r="F13" s="3">
        <f>Table1[[#This Row],[discount_calc]]/Table1[[#This Row],[old_price]]</f>
        <v>8.8449848024316116E-2</v>
      </c>
      <c r="G13" s="1">
        <v>0.09</v>
      </c>
      <c r="H13" s="1" t="str" cm="1">
        <f t="array" ref="H13">_xlfn.IFS(Table1[[#This Row],[%discount_calc]]&lt;20%,"Low",Table1[[#This Row],[%discount_calc]]&lt;=40%,"Medium",Table1[[#This Row],[%discount_calc]]&gt;40%,"High")</f>
        <v>Low</v>
      </c>
      <c r="I13">
        <v>15</v>
      </c>
      <c r="J13">
        <v>4</v>
      </c>
      <c r="K13" t="str" cm="1">
        <f t="array" ref="K13">_xlfn.IFS(Table1[[#This Row],[rating]]&lt;=3,"Poor", Table1[[#This Row],[rating]]&lt;=4.2,"Average", Table1[[#This Row],[rating]]&gt;4.2,"Excellent")</f>
        <v>Average</v>
      </c>
    </row>
    <row r="14" spans="1:11" x14ac:dyDescent="0.5">
      <c r="A14" t="s">
        <v>301</v>
      </c>
      <c r="B14" s="2">
        <v>1875</v>
      </c>
      <c r="C14" s="2">
        <v>1899</v>
      </c>
      <c r="D14" s="2" t="str" cm="1">
        <f t="array" ref="D14">_xlfn.IFS(Table1[[#This Row],[current_price]]&lt;=500,"Inexpensive",Table1[[#This Row],[current_price]]&lt;=1500,"Moderate",Table1[[#This Row],[current_price]]&gt;1500,"Expensive")</f>
        <v>Expensive</v>
      </c>
      <c r="E14" s="2">
        <f>Table1[[#This Row],[old_price]]-Table1[[#This Row],[current_price]]</f>
        <v>24</v>
      </c>
      <c r="F14" s="3">
        <f>Table1[[#This Row],[discount_calc]]/Table1[[#This Row],[old_price]]</f>
        <v>1.2638230647709321E-2</v>
      </c>
      <c r="G14" s="1">
        <v>0.01</v>
      </c>
      <c r="H14" s="1" t="str" cm="1">
        <f t="array" ref="H14">_xlfn.IFS(Table1[[#This Row],[%discount_calc]]&lt;20%,"Low",Table1[[#This Row],[%discount_calc]]&lt;=40%,"Medium",Table1[[#This Row],[%discount_calc]]&gt;40%,"High")</f>
        <v>Low</v>
      </c>
      <c r="I14">
        <v>7</v>
      </c>
      <c r="J14">
        <v>4.2</v>
      </c>
      <c r="K14" t="str" cm="1">
        <f t="array" ref="K14">_xlfn.IFS(Table1[[#This Row],[rating]]&lt;=3,"Poor", Table1[[#This Row],[rating]]&lt;=4.2,"Average", Table1[[#This Row],[rating]]&gt;4.2,"Excellent")</f>
        <v>Average</v>
      </c>
    </row>
    <row r="15" spans="1:11" x14ac:dyDescent="0.5">
      <c r="A15" t="s">
        <v>278</v>
      </c>
      <c r="B15" s="2">
        <v>1200</v>
      </c>
      <c r="C15" s="2">
        <v>2400</v>
      </c>
      <c r="D15" s="2" t="str" cm="1">
        <f t="array" ref="D15">_xlfn.IFS(Table1[[#This Row],[current_price]]&lt;=500,"Inexpensive",Table1[[#This Row],[current_price]]&lt;=1500,"Moderate",Table1[[#This Row],[current_price]]&gt;1500,"Expensive")</f>
        <v>Moderate</v>
      </c>
      <c r="E15" s="2">
        <f>Table1[[#This Row],[old_price]]-Table1[[#This Row],[current_price]]</f>
        <v>1200</v>
      </c>
      <c r="F15" s="3">
        <f>Table1[[#This Row],[discount_calc]]/Table1[[#This Row],[old_price]]</f>
        <v>0.5</v>
      </c>
      <c r="G15" s="1">
        <v>0.5</v>
      </c>
      <c r="H15" s="1" t="str" cm="1">
        <f t="array" ref="H15">_xlfn.IFS(Table1[[#This Row],[%discount_calc]]&lt;20%,"Low",Table1[[#This Row],[%discount_calc]]&lt;=40%,"Medium",Table1[[#This Row],[%discount_calc]]&gt;40%,"High")</f>
        <v>High</v>
      </c>
      <c r="I15">
        <v>7</v>
      </c>
      <c r="J15">
        <v>4.2</v>
      </c>
      <c r="K15" t="str" cm="1">
        <f t="array" ref="K15">_xlfn.IFS(Table1[[#This Row],[rating]]&lt;=3,"Poor", Table1[[#This Row],[rating]]&lt;=4.2,"Average", Table1[[#This Row],[rating]]&gt;4.2,"Excellent")</f>
        <v>Average</v>
      </c>
    </row>
    <row r="16" spans="1:11" x14ac:dyDescent="0.5">
      <c r="A16" t="s">
        <v>151</v>
      </c>
      <c r="B16" s="2">
        <v>1200</v>
      </c>
      <c r="C16" s="2">
        <v>1950</v>
      </c>
      <c r="D16" s="2" t="str" cm="1">
        <f t="array" ref="D16">_xlfn.IFS(Table1[[#This Row],[current_price]]&lt;=500,"Inexpensive",Table1[[#This Row],[current_price]]&lt;=1500,"Moderate",Table1[[#This Row],[current_price]]&gt;1500,"Expensive")</f>
        <v>Moderate</v>
      </c>
      <c r="E16" s="2">
        <f>Table1[[#This Row],[old_price]]-Table1[[#This Row],[current_price]]</f>
        <v>750</v>
      </c>
      <c r="F16" s="3">
        <f>Table1[[#This Row],[discount_calc]]/Table1[[#This Row],[old_price]]</f>
        <v>0.38461538461538464</v>
      </c>
      <c r="G16" s="1">
        <v>0.38</v>
      </c>
      <c r="H16" s="1" t="str" cm="1">
        <f t="array" ref="H16">_xlfn.IFS(Table1[[#This Row],[%discount_calc]]&lt;20%,"Low",Table1[[#This Row],[%discount_calc]]&lt;=40%,"Medium",Table1[[#This Row],[%discount_calc]]&gt;40%,"High")</f>
        <v>Medium</v>
      </c>
      <c r="I16">
        <v>7</v>
      </c>
      <c r="J16">
        <v>4.2</v>
      </c>
      <c r="K16" t="str" cm="1">
        <f t="array" ref="K16">_xlfn.IFS(Table1[[#This Row],[rating]]&lt;=3,"Poor", Table1[[#This Row],[rating]]&lt;=4.2,"Average", Table1[[#This Row],[rating]]&gt;4.2,"Excellent")</f>
        <v>Average</v>
      </c>
    </row>
    <row r="17" spans="1:11" x14ac:dyDescent="0.5">
      <c r="A17" t="s">
        <v>232</v>
      </c>
      <c r="B17">
        <v>790</v>
      </c>
      <c r="C17" s="2">
        <v>1485</v>
      </c>
      <c r="D17" s="2" t="str" cm="1">
        <f t="array" ref="D17">_xlfn.IFS(Table1[[#This Row],[current_price]]&lt;=500,"Inexpensive",Table1[[#This Row],[current_price]]&lt;=1500,"Moderate",Table1[[#This Row],[current_price]]&gt;1500,"Expensive")</f>
        <v>Moderate</v>
      </c>
      <c r="E17" s="2">
        <f>Table1[[#This Row],[old_price]]-Table1[[#This Row],[current_price]]</f>
        <v>695</v>
      </c>
      <c r="F17" s="3">
        <f>Table1[[#This Row],[discount_calc]]/Table1[[#This Row],[old_price]]</f>
        <v>0.46801346801346799</v>
      </c>
      <c r="G17" s="1">
        <v>0.47</v>
      </c>
      <c r="H17" s="1" t="str" cm="1">
        <f t="array" ref="H17">_xlfn.IFS(Table1[[#This Row],[%discount_calc]]&lt;20%,"Low",Table1[[#This Row],[%discount_calc]]&lt;=40%,"Medium",Table1[[#This Row],[%discount_calc]]&gt;40%,"High")</f>
        <v>High</v>
      </c>
      <c r="I17">
        <v>7</v>
      </c>
      <c r="J17">
        <v>4.2</v>
      </c>
      <c r="K17" t="str" cm="1">
        <f t="array" ref="K17">_xlfn.IFS(Table1[[#This Row],[rating]]&lt;=3,"Poor", Table1[[#This Row],[rating]]&lt;=4.2,"Average", Table1[[#This Row],[rating]]&gt;4.2,"Excellent")</f>
        <v>Average</v>
      </c>
    </row>
    <row r="18" spans="1:11" x14ac:dyDescent="0.5">
      <c r="A18" t="s">
        <v>212</v>
      </c>
      <c r="B18" s="2">
        <v>3750</v>
      </c>
      <c r="C18" s="2">
        <v>6143</v>
      </c>
      <c r="D18" s="2" t="str" cm="1">
        <f t="array" ref="D18">_xlfn.IFS(Table1[[#This Row],[current_price]]&lt;=500,"Inexpensive",Table1[[#This Row],[current_price]]&lt;=1500,"Moderate",Table1[[#This Row],[current_price]]&gt;1500,"Expensive")</f>
        <v>Expensive</v>
      </c>
      <c r="E18" s="2">
        <f>Table1[[#This Row],[old_price]]-Table1[[#This Row],[current_price]]</f>
        <v>2393</v>
      </c>
      <c r="F18" s="3">
        <f>Table1[[#This Row],[discount_calc]]/Table1[[#This Row],[old_price]]</f>
        <v>0.38954908025394758</v>
      </c>
      <c r="G18" s="1">
        <v>0.39</v>
      </c>
      <c r="H18" s="1" t="str" cm="1">
        <f t="array" ref="H18">_xlfn.IFS(Table1[[#This Row],[%discount_calc]]&lt;20%,"Low",Table1[[#This Row],[%discount_calc]]&lt;=40%,"Medium",Table1[[#This Row],[%discount_calc]]&gt;40%,"High")</f>
        <v>Medium</v>
      </c>
      <c r="I18">
        <v>5</v>
      </c>
      <c r="J18">
        <v>3</v>
      </c>
      <c r="K18" t="str" cm="1">
        <f t="array" ref="K18">_xlfn.IFS(Table1[[#This Row],[rating]]&lt;=3,"Poor", Table1[[#This Row],[rating]]&lt;=4.2,"Average", Table1[[#This Row],[rating]]&gt;4.2,"Excellent")</f>
        <v>Poor</v>
      </c>
    </row>
    <row r="19" spans="1:11" x14ac:dyDescent="0.5">
      <c r="A19" t="s">
        <v>209</v>
      </c>
      <c r="B19" s="2">
        <v>1000</v>
      </c>
      <c r="C19" s="2">
        <v>2000</v>
      </c>
      <c r="D19" s="2" t="str" cm="1">
        <f t="array" ref="D19">_xlfn.IFS(Table1[[#This Row],[current_price]]&lt;=500,"Inexpensive",Table1[[#This Row],[current_price]]&lt;=1500,"Moderate",Table1[[#This Row],[current_price]]&gt;1500,"Expensive")</f>
        <v>Moderate</v>
      </c>
      <c r="E19" s="2">
        <f>Table1[[#This Row],[old_price]]-Table1[[#This Row],[current_price]]</f>
        <v>1000</v>
      </c>
      <c r="F19" s="3">
        <f>Table1[[#This Row],[discount_calc]]/Table1[[#This Row],[old_price]]</f>
        <v>0.5</v>
      </c>
      <c r="G19" s="1">
        <v>0.5</v>
      </c>
      <c r="H19" s="1" t="str" cm="1">
        <f t="array" ref="H19">_xlfn.IFS(Table1[[#This Row],[%discount_calc]]&lt;20%,"Low",Table1[[#This Row],[%discount_calc]]&lt;=40%,"Medium",Table1[[#This Row],[%discount_calc]]&gt;40%,"High")</f>
        <v>High</v>
      </c>
      <c r="I19">
        <v>7</v>
      </c>
      <c r="J19">
        <v>2.2999999999999998</v>
      </c>
      <c r="K19" t="str" cm="1">
        <f t="array" ref="K19">_xlfn.IFS(Table1[[#This Row],[rating]]&lt;=3,"Poor", Table1[[#This Row],[rating]]&lt;=4.2,"Average", Table1[[#This Row],[rating]]&gt;4.2,"Excellent")</f>
        <v>Poor</v>
      </c>
    </row>
    <row r="20" spans="1:11" x14ac:dyDescent="0.5">
      <c r="A20" t="s">
        <v>68</v>
      </c>
      <c r="B20">
        <v>998</v>
      </c>
      <c r="C20" s="2">
        <v>1966</v>
      </c>
      <c r="D20" s="2" t="str" cm="1">
        <f t="array" ref="D20">_xlfn.IFS(Table1[[#This Row],[current_price]]&lt;=500,"Inexpensive",Table1[[#This Row],[current_price]]&lt;=1500,"Moderate",Table1[[#This Row],[current_price]]&gt;1500,"Expensive")</f>
        <v>Moderate</v>
      </c>
      <c r="E20" s="2">
        <f>Table1[[#This Row],[old_price]]-Table1[[#This Row],[current_price]]</f>
        <v>968</v>
      </c>
      <c r="F20" s="3">
        <f>Table1[[#This Row],[discount_calc]]/Table1[[#This Row],[old_price]]</f>
        <v>0.49237029501525942</v>
      </c>
      <c r="G20" s="1">
        <v>0.49</v>
      </c>
      <c r="H20" s="1" t="str" cm="1">
        <f t="array" ref="H20">_xlfn.IFS(Table1[[#This Row],[%discount_calc]]&lt;20%,"Low",Table1[[#This Row],[%discount_calc]]&lt;=40%,"Medium",Table1[[#This Row],[%discount_calc]]&gt;40%,"High")</f>
        <v>High</v>
      </c>
      <c r="I20">
        <v>44</v>
      </c>
      <c r="J20">
        <v>4.5999999999999996</v>
      </c>
      <c r="K20" t="str" cm="1">
        <f t="array" ref="K20">_xlfn.IFS(Table1[[#This Row],[rating]]&lt;=3,"Poor", Table1[[#This Row],[rating]]&lt;=4.2,"Average", Table1[[#This Row],[rating]]&gt;4.2,"Excellent")</f>
        <v>Excellent</v>
      </c>
    </row>
    <row r="21" spans="1:11" x14ac:dyDescent="0.5">
      <c r="A21" t="s">
        <v>235</v>
      </c>
      <c r="B21">
        <v>690</v>
      </c>
      <c r="C21" s="2">
        <v>1200</v>
      </c>
      <c r="D21" s="2" t="str" cm="1">
        <f t="array" ref="D21">_xlfn.IFS(Table1[[#This Row],[current_price]]&lt;=500,"Inexpensive",Table1[[#This Row],[current_price]]&lt;=1500,"Moderate",Table1[[#This Row],[current_price]]&gt;1500,"Expensive")</f>
        <v>Moderate</v>
      </c>
      <c r="E21" s="2">
        <f>Table1[[#This Row],[old_price]]-Table1[[#This Row],[current_price]]</f>
        <v>510</v>
      </c>
      <c r="F21" s="3">
        <f>Table1[[#This Row],[discount_calc]]/Table1[[#This Row],[old_price]]</f>
        <v>0.42499999999999999</v>
      </c>
      <c r="G21" s="1">
        <v>0.43</v>
      </c>
      <c r="H21" s="1" t="str" cm="1">
        <f t="array" ref="H21">_xlfn.IFS(Table1[[#This Row],[%discount_calc]]&lt;20%,"Low",Table1[[#This Row],[%discount_calc]]&lt;=40%,"Medium",Table1[[#This Row],[%discount_calc]]&gt;40%,"High")</f>
        <v>High</v>
      </c>
      <c r="I21">
        <v>7</v>
      </c>
      <c r="J21">
        <v>4.2</v>
      </c>
      <c r="K21" t="str" cm="1">
        <f t="array" ref="K21">_xlfn.IFS(Table1[[#This Row],[rating]]&lt;=3,"Poor", Table1[[#This Row],[rating]]&lt;=4.2,"Average", Table1[[#This Row],[rating]]&gt;4.2,"Excellent")</f>
        <v>Average</v>
      </c>
    </row>
    <row r="22" spans="1:11" x14ac:dyDescent="0.5">
      <c r="A22" t="s">
        <v>71</v>
      </c>
      <c r="B22">
        <v>38</v>
      </c>
      <c r="C22">
        <v>80</v>
      </c>
      <c r="D22" t="str" cm="1">
        <f t="array" ref="D22">_xlfn.IFS(Table1[[#This Row],[current_price]]&lt;=500,"Inexpensive",Table1[[#This Row],[current_price]]&lt;=1500,"Moderate",Table1[[#This Row],[current_price]]&gt;1500,"Expensive")</f>
        <v>Inexpensive</v>
      </c>
      <c r="E22">
        <f>Table1[[#This Row],[old_price]]-Table1[[#This Row],[current_price]]</f>
        <v>42</v>
      </c>
      <c r="F22" s="3">
        <f>Table1[[#This Row],[discount_calc]]/Table1[[#This Row],[old_price]]</f>
        <v>0.52500000000000002</v>
      </c>
      <c r="G22" s="1">
        <v>0.53</v>
      </c>
      <c r="H22" s="1" t="str" cm="1">
        <f t="array" ref="H22">_xlfn.IFS(Table1[[#This Row],[%discount_calc]]&lt;20%,"Low",Table1[[#This Row],[%discount_calc]]&lt;=40%,"Medium",Table1[[#This Row],[%discount_calc]]&gt;40%,"High")</f>
        <v>High</v>
      </c>
      <c r="I22">
        <v>13</v>
      </c>
      <c r="J22">
        <v>3.3</v>
      </c>
      <c r="K22" t="str" cm="1">
        <f t="array" ref="K22">_xlfn.IFS(Table1[[#This Row],[rating]]&lt;=3,"Poor", Table1[[#This Row],[rating]]&lt;=4.2,"Average", Table1[[#This Row],[rating]]&gt;4.2,"Excellent")</f>
        <v>Average</v>
      </c>
    </row>
    <row r="23" spans="1:11" x14ac:dyDescent="0.5">
      <c r="A23" t="s">
        <v>284</v>
      </c>
      <c r="B23">
        <v>248</v>
      </c>
      <c r="C23">
        <v>486</v>
      </c>
      <c r="D23" t="str" cm="1">
        <f t="array" ref="D23">_xlfn.IFS(Table1[[#This Row],[current_price]]&lt;=500,"Inexpensive",Table1[[#This Row],[current_price]]&lt;=1500,"Moderate",Table1[[#This Row],[current_price]]&gt;1500,"Expensive")</f>
        <v>Inexpensive</v>
      </c>
      <c r="E23">
        <f>Table1[[#This Row],[old_price]]-Table1[[#This Row],[current_price]]</f>
        <v>238</v>
      </c>
      <c r="F23" s="3">
        <f>Table1[[#This Row],[discount_calc]]/Table1[[#This Row],[old_price]]</f>
        <v>0.48971193415637859</v>
      </c>
      <c r="G23" s="1">
        <v>0.49</v>
      </c>
      <c r="H23" s="1" t="str" cm="1">
        <f t="array" ref="H23">_xlfn.IFS(Table1[[#This Row],[%discount_calc]]&lt;20%,"Low",Table1[[#This Row],[%discount_calc]]&lt;=40%,"Medium",Table1[[#This Row],[%discount_calc]]&gt;40%,"High")</f>
        <v>High</v>
      </c>
      <c r="I23">
        <v>7</v>
      </c>
      <c r="J23">
        <v>4.2</v>
      </c>
      <c r="K23" t="str" cm="1">
        <f t="array" ref="K23">_xlfn.IFS(Table1[[#This Row],[rating]]&lt;=3,"Poor", Table1[[#This Row],[rating]]&lt;=4.2,"Average", Table1[[#This Row],[rating]]&gt;4.2,"Excellent")</f>
        <v>Average</v>
      </c>
    </row>
    <row r="24" spans="1:11" x14ac:dyDescent="0.5">
      <c r="A24" t="s">
        <v>47</v>
      </c>
      <c r="B24">
        <v>552</v>
      </c>
      <c r="C24" s="2">
        <v>1035</v>
      </c>
      <c r="D24" s="2" t="str" cm="1">
        <f t="array" ref="D24">_xlfn.IFS(Table1[[#This Row],[current_price]]&lt;=500,"Inexpensive",Table1[[#This Row],[current_price]]&lt;=1500,"Moderate",Table1[[#This Row],[current_price]]&gt;1500,"Expensive")</f>
        <v>Moderate</v>
      </c>
      <c r="E24" s="2">
        <f>Table1[[#This Row],[old_price]]-Table1[[#This Row],[current_price]]</f>
        <v>483</v>
      </c>
      <c r="F24" s="3">
        <f>Table1[[#This Row],[discount_calc]]/Table1[[#This Row],[old_price]]</f>
        <v>0.46666666666666667</v>
      </c>
      <c r="G24" s="1">
        <v>0.47</v>
      </c>
      <c r="H24" s="1" t="str" cm="1">
        <f t="array" ref="H24">_xlfn.IFS(Table1[[#This Row],[%discount_calc]]&lt;20%,"Low",Table1[[#This Row],[%discount_calc]]&lt;=40%,"Medium",Table1[[#This Row],[%discount_calc]]&gt;40%,"High")</f>
        <v>High</v>
      </c>
      <c r="I24">
        <v>12</v>
      </c>
      <c r="J24">
        <v>4.8</v>
      </c>
      <c r="K24" t="str" cm="1">
        <f t="array" ref="K24">_xlfn.IFS(Table1[[#This Row],[rating]]&lt;=3,"Poor", Table1[[#This Row],[rating]]&lt;=4.2,"Average", Table1[[#This Row],[rating]]&gt;4.2,"Excellent")</f>
        <v>Excellent</v>
      </c>
    </row>
    <row r="25" spans="1:11" x14ac:dyDescent="0.5">
      <c r="A25" t="s">
        <v>131</v>
      </c>
      <c r="B25">
        <v>475</v>
      </c>
      <c r="C25">
        <v>931</v>
      </c>
      <c r="D25" t="str" cm="1">
        <f t="array" ref="D25">_xlfn.IFS(Table1[[#This Row],[current_price]]&lt;=500,"Inexpensive",Table1[[#This Row],[current_price]]&lt;=1500,"Moderate",Table1[[#This Row],[current_price]]&gt;1500,"Expensive")</f>
        <v>Inexpensive</v>
      </c>
      <c r="E25">
        <f>Table1[[#This Row],[old_price]]-Table1[[#This Row],[current_price]]</f>
        <v>456</v>
      </c>
      <c r="F25" s="3">
        <f>Table1[[#This Row],[discount_calc]]/Table1[[#This Row],[old_price]]</f>
        <v>0.48979591836734693</v>
      </c>
      <c r="G25" s="1">
        <v>0.49</v>
      </c>
      <c r="H25" s="1" t="str" cm="1">
        <f t="array" ref="H25">_xlfn.IFS(Table1[[#This Row],[%discount_calc]]&lt;20%,"Low",Table1[[#This Row],[%discount_calc]]&lt;=40%,"Medium",Table1[[#This Row],[%discount_calc]]&gt;40%,"High")</f>
        <v>High</v>
      </c>
      <c r="I25">
        <v>7</v>
      </c>
      <c r="J25">
        <v>4.2</v>
      </c>
      <c r="K25" t="str" cm="1">
        <f t="array" ref="K25">_xlfn.IFS(Table1[[#This Row],[rating]]&lt;=3,"Poor", Table1[[#This Row],[rating]]&lt;=4.2,"Average", Table1[[#This Row],[rating]]&gt;4.2,"Excellent")</f>
        <v>Average</v>
      </c>
    </row>
    <row r="26" spans="1:11" x14ac:dyDescent="0.5">
      <c r="A26" t="s">
        <v>75</v>
      </c>
      <c r="B26" s="2">
        <v>1860</v>
      </c>
      <c r="C26" s="2">
        <v>3220</v>
      </c>
      <c r="D26" s="2" t="str" cm="1">
        <f t="array" ref="D26">_xlfn.IFS(Table1[[#This Row],[current_price]]&lt;=500,"Inexpensive",Table1[[#This Row],[current_price]]&lt;=1500,"Moderate",Table1[[#This Row],[current_price]]&gt;1500,"Expensive")</f>
        <v>Expensive</v>
      </c>
      <c r="E26" s="2">
        <f>Table1[[#This Row],[old_price]]-Table1[[#This Row],[current_price]]</f>
        <v>1360</v>
      </c>
      <c r="F26" s="3">
        <f>Table1[[#This Row],[discount_calc]]/Table1[[#This Row],[old_price]]</f>
        <v>0.42236024844720499</v>
      </c>
      <c r="G26" s="1">
        <v>0.42</v>
      </c>
      <c r="H26" s="1" t="str" cm="1">
        <f t="array" ref="H26">_xlfn.IFS(Table1[[#This Row],[%discount_calc]]&lt;20%,"Low",Table1[[#This Row],[%discount_calc]]&lt;=40%,"Medium",Table1[[#This Row],[%discount_calc]]&gt;40%,"High")</f>
        <v>High</v>
      </c>
      <c r="I26">
        <v>7</v>
      </c>
      <c r="J26">
        <v>4.2</v>
      </c>
      <c r="K26" t="str" cm="1">
        <f t="array" ref="K26">_xlfn.IFS(Table1[[#This Row],[rating]]&lt;=3,"Poor", Table1[[#This Row],[rating]]&lt;=4.2,"Average", Table1[[#This Row],[rating]]&gt;4.2,"Excellent")</f>
        <v>Average</v>
      </c>
    </row>
    <row r="27" spans="1:11" x14ac:dyDescent="0.5">
      <c r="A27" t="s">
        <v>182</v>
      </c>
      <c r="B27" s="2">
        <v>2170</v>
      </c>
      <c r="C27" s="2">
        <v>2500</v>
      </c>
      <c r="D27" s="2" t="str" cm="1">
        <f t="array" ref="D27">_xlfn.IFS(Table1[[#This Row],[current_price]]&lt;=500,"Inexpensive",Table1[[#This Row],[current_price]]&lt;=1500,"Moderate",Table1[[#This Row],[current_price]]&gt;1500,"Expensive")</f>
        <v>Expensive</v>
      </c>
      <c r="E27" s="2">
        <f>Table1[[#This Row],[old_price]]-Table1[[#This Row],[current_price]]</f>
        <v>330</v>
      </c>
      <c r="F27" s="3">
        <f>Table1[[#This Row],[discount_calc]]/Table1[[#This Row],[old_price]]</f>
        <v>0.13200000000000001</v>
      </c>
      <c r="G27" s="1">
        <v>0.13</v>
      </c>
      <c r="H27" s="1" t="str" cm="1">
        <f t="array" ref="H27">_xlfn.IFS(Table1[[#This Row],[%discount_calc]]&lt;20%,"Low",Table1[[#This Row],[%discount_calc]]&lt;=40%,"Medium",Table1[[#This Row],[%discount_calc]]&gt;40%,"High")</f>
        <v>Low</v>
      </c>
      <c r="I27">
        <v>6</v>
      </c>
      <c r="J27">
        <v>2.5</v>
      </c>
      <c r="K27" t="str" cm="1">
        <f t="array" ref="K27">_xlfn.IFS(Table1[[#This Row],[rating]]&lt;=3,"Poor", Table1[[#This Row],[rating]]&lt;=4.2,"Average", Table1[[#This Row],[rating]]&gt;4.2,"Excellent")</f>
        <v>Poor</v>
      </c>
    </row>
    <row r="28" spans="1:11" x14ac:dyDescent="0.5">
      <c r="A28" t="s">
        <v>97</v>
      </c>
      <c r="B28" s="2">
        <v>1758</v>
      </c>
      <c r="C28" s="2">
        <v>2499</v>
      </c>
      <c r="D28" s="2" t="str" cm="1">
        <f t="array" ref="D28">_xlfn.IFS(Table1[[#This Row],[current_price]]&lt;=500,"Inexpensive",Table1[[#This Row],[current_price]]&lt;=1500,"Moderate",Table1[[#This Row],[current_price]]&gt;1500,"Expensive")</f>
        <v>Expensive</v>
      </c>
      <c r="E28" s="2">
        <f>Table1[[#This Row],[old_price]]-Table1[[#This Row],[current_price]]</f>
        <v>741</v>
      </c>
      <c r="F28" s="3">
        <f>Table1[[#This Row],[discount_calc]]/Table1[[#This Row],[old_price]]</f>
        <v>0.2965186074429772</v>
      </c>
      <c r="G28" s="1">
        <v>0.3</v>
      </c>
      <c r="H28" s="1" t="str" cm="1">
        <f t="array" ref="H28">_xlfn.IFS(Table1[[#This Row],[%discount_calc]]&lt;20%,"Low",Table1[[#This Row],[%discount_calc]]&lt;=40%,"Medium",Table1[[#This Row],[%discount_calc]]&gt;40%,"High")</f>
        <v>Medium</v>
      </c>
      <c r="I28">
        <v>20</v>
      </c>
      <c r="J28">
        <v>4.0999999999999996</v>
      </c>
      <c r="K28" t="str" cm="1">
        <f t="array" ref="K28">_xlfn.IFS(Table1[[#This Row],[rating]]&lt;=3,"Poor", Table1[[#This Row],[rating]]&lt;=4.2,"Average", Table1[[#This Row],[rating]]&gt;4.2,"Excellent")</f>
        <v>Average</v>
      </c>
    </row>
    <row r="29" spans="1:11" x14ac:dyDescent="0.5">
      <c r="A29" t="s">
        <v>114</v>
      </c>
      <c r="B29" s="2">
        <v>1980</v>
      </c>
      <c r="C29" s="2">
        <v>2699</v>
      </c>
      <c r="D29" s="2" t="str" cm="1">
        <f t="array" ref="D29">_xlfn.IFS(Table1[[#This Row],[current_price]]&lt;=500,"Inexpensive",Table1[[#This Row],[current_price]]&lt;=1500,"Moderate",Table1[[#This Row],[current_price]]&gt;1500,"Expensive")</f>
        <v>Expensive</v>
      </c>
      <c r="E29" s="2">
        <f>Table1[[#This Row],[old_price]]-Table1[[#This Row],[current_price]]</f>
        <v>719</v>
      </c>
      <c r="F29" s="3">
        <f>Table1[[#This Row],[discount_calc]]/Table1[[#This Row],[old_price]]</f>
        <v>0.26639496109670247</v>
      </c>
      <c r="G29" s="1">
        <v>0.27</v>
      </c>
      <c r="H29" s="1" t="str" cm="1">
        <f t="array" ref="H29">_xlfn.IFS(Table1[[#This Row],[%discount_calc]]&lt;20%,"Low",Table1[[#This Row],[%discount_calc]]&lt;=40%,"Medium",Table1[[#This Row],[%discount_calc]]&gt;40%,"High")</f>
        <v>Medium</v>
      </c>
      <c r="I29">
        <v>32</v>
      </c>
      <c r="J29">
        <v>4.5</v>
      </c>
      <c r="K29" t="str" cm="1">
        <f t="array" ref="K29">_xlfn.IFS(Table1[[#This Row],[rating]]&lt;=3,"Poor", Table1[[#This Row],[rating]]&lt;=4.2,"Average", Table1[[#This Row],[rating]]&gt;4.2,"Excellent")</f>
        <v>Excellent</v>
      </c>
    </row>
    <row r="30" spans="1:11" x14ac:dyDescent="0.5">
      <c r="A30" t="s">
        <v>111</v>
      </c>
      <c r="B30" s="2">
        <v>1940</v>
      </c>
      <c r="C30" s="2">
        <v>2650</v>
      </c>
      <c r="D30" s="2" t="str" cm="1">
        <f t="array" ref="D30">_xlfn.IFS(Table1[[#This Row],[current_price]]&lt;=500,"Inexpensive",Table1[[#This Row],[current_price]]&lt;=1500,"Moderate",Table1[[#This Row],[current_price]]&gt;1500,"Expensive")</f>
        <v>Expensive</v>
      </c>
      <c r="E30" s="2">
        <f>Table1[[#This Row],[old_price]]-Table1[[#This Row],[current_price]]</f>
        <v>710</v>
      </c>
      <c r="F30" s="3">
        <f>Table1[[#This Row],[discount_calc]]/Table1[[#This Row],[old_price]]</f>
        <v>0.26792452830188679</v>
      </c>
      <c r="G30" s="1">
        <v>0.27</v>
      </c>
      <c r="H30" s="1" t="str" cm="1">
        <f t="array" ref="H30">_xlfn.IFS(Table1[[#This Row],[%discount_calc]]&lt;20%,"Low",Table1[[#This Row],[%discount_calc]]&lt;=40%,"Medium",Table1[[#This Row],[%discount_calc]]&gt;40%,"High")</f>
        <v>Medium</v>
      </c>
      <c r="I30">
        <v>20</v>
      </c>
      <c r="J30">
        <v>4.7</v>
      </c>
      <c r="K30" t="str" cm="1">
        <f t="array" ref="K30">_xlfn.IFS(Table1[[#This Row],[rating]]&lt;=3,"Poor", Table1[[#This Row],[rating]]&lt;=4.2,"Average", Table1[[#This Row],[rating]]&gt;4.2,"Excellent")</f>
        <v>Excellent</v>
      </c>
    </row>
    <row r="31" spans="1:11" x14ac:dyDescent="0.5">
      <c r="A31" t="s">
        <v>248</v>
      </c>
      <c r="B31" s="2">
        <v>1460</v>
      </c>
      <c r="C31" s="2">
        <v>2290</v>
      </c>
      <c r="D31" s="2" t="str" cm="1">
        <f t="array" ref="D31">_xlfn.IFS(Table1[[#This Row],[current_price]]&lt;=500,"Inexpensive",Table1[[#This Row],[current_price]]&lt;=1500,"Moderate",Table1[[#This Row],[current_price]]&gt;1500,"Expensive")</f>
        <v>Moderate</v>
      </c>
      <c r="E31" s="2">
        <f>Table1[[#This Row],[old_price]]-Table1[[#This Row],[current_price]]</f>
        <v>830</v>
      </c>
      <c r="F31" s="3">
        <f>Table1[[#This Row],[discount_calc]]/Table1[[#This Row],[old_price]]</f>
        <v>0.36244541484716158</v>
      </c>
      <c r="G31" s="1">
        <v>0.36</v>
      </c>
      <c r="H31" s="1" t="str" cm="1">
        <f t="array" ref="H31">_xlfn.IFS(Table1[[#This Row],[%discount_calc]]&lt;20%,"Low",Table1[[#This Row],[%discount_calc]]&lt;=40%,"Medium",Table1[[#This Row],[%discount_calc]]&gt;40%,"High")</f>
        <v>Medium</v>
      </c>
      <c r="I31">
        <v>7</v>
      </c>
      <c r="J31">
        <v>4.2</v>
      </c>
      <c r="K31" t="str" cm="1">
        <f t="array" ref="K31">_xlfn.IFS(Table1[[#This Row],[rating]]&lt;=3,"Poor", Table1[[#This Row],[rating]]&lt;=4.2,"Average", Table1[[#This Row],[rating]]&gt;4.2,"Excellent")</f>
        <v>Average</v>
      </c>
    </row>
    <row r="32" spans="1:11" x14ac:dyDescent="0.5">
      <c r="A32" t="s">
        <v>190</v>
      </c>
      <c r="B32" s="2">
        <v>2115</v>
      </c>
      <c r="C32" s="2">
        <v>4700</v>
      </c>
      <c r="D32" s="2" t="str" cm="1">
        <f t="array" ref="D32">_xlfn.IFS(Table1[[#This Row],[current_price]]&lt;=500,"Inexpensive",Table1[[#This Row],[current_price]]&lt;=1500,"Moderate",Table1[[#This Row],[current_price]]&gt;1500,"Expensive")</f>
        <v>Expensive</v>
      </c>
      <c r="E32" s="2">
        <f>Table1[[#This Row],[old_price]]-Table1[[#This Row],[current_price]]</f>
        <v>2585</v>
      </c>
      <c r="F32" s="3">
        <f>Table1[[#This Row],[discount_calc]]/Table1[[#This Row],[old_price]]</f>
        <v>0.55000000000000004</v>
      </c>
      <c r="G32" s="1">
        <v>0.55000000000000004</v>
      </c>
      <c r="H32" s="1" t="str" cm="1">
        <f t="array" ref="H32">_xlfn.IFS(Table1[[#This Row],[%discount_calc]]&lt;20%,"Low",Table1[[#This Row],[%discount_calc]]&lt;=40%,"Medium",Table1[[#This Row],[%discount_calc]]&gt;40%,"High")</f>
        <v>High</v>
      </c>
      <c r="I32">
        <v>13</v>
      </c>
      <c r="J32">
        <v>2.1</v>
      </c>
      <c r="K32" t="str" cm="1">
        <f t="array" ref="K32">_xlfn.IFS(Table1[[#This Row],[rating]]&lt;=3,"Poor", Table1[[#This Row],[rating]]&lt;=4.2,"Average", Table1[[#This Row],[rating]]&gt;4.2,"Excellent")</f>
        <v>Poor</v>
      </c>
    </row>
    <row r="33" spans="1:11" x14ac:dyDescent="0.5">
      <c r="A33" t="s">
        <v>316</v>
      </c>
      <c r="B33">
        <v>199</v>
      </c>
      <c r="C33">
        <v>553</v>
      </c>
      <c r="D33" t="str" cm="1">
        <f t="array" ref="D33">_xlfn.IFS(Table1[[#This Row],[current_price]]&lt;=500,"Inexpensive",Table1[[#This Row],[current_price]]&lt;=1500,"Moderate",Table1[[#This Row],[current_price]]&gt;1500,"Expensive")</f>
        <v>Inexpensive</v>
      </c>
      <c r="E33">
        <f>Table1[[#This Row],[old_price]]-Table1[[#This Row],[current_price]]</f>
        <v>354</v>
      </c>
      <c r="F33" s="3">
        <f>Table1[[#This Row],[discount_calc]]/Table1[[#This Row],[old_price]]</f>
        <v>0.64014466546112114</v>
      </c>
      <c r="G33" s="1">
        <v>0.64</v>
      </c>
      <c r="H33" s="1" t="str" cm="1">
        <f t="array" ref="H33">_xlfn.IFS(Table1[[#This Row],[%discount_calc]]&lt;20%,"Low",Table1[[#This Row],[%discount_calc]]&lt;=40%,"Medium",Table1[[#This Row],[%discount_calc]]&gt;40%,"High")</f>
        <v>High</v>
      </c>
      <c r="I33">
        <v>7</v>
      </c>
      <c r="J33">
        <v>4.2</v>
      </c>
      <c r="K33" t="str" cm="1">
        <f t="array" ref="K33">_xlfn.IFS(Table1[[#This Row],[rating]]&lt;=3,"Poor", Table1[[#This Row],[rating]]&lt;=4.2,"Average", Table1[[#This Row],[rating]]&gt;4.2,"Excellent")</f>
        <v>Average</v>
      </c>
    </row>
    <row r="34" spans="1:11" x14ac:dyDescent="0.5">
      <c r="A34" t="s">
        <v>277</v>
      </c>
      <c r="B34">
        <v>899</v>
      </c>
      <c r="C34" s="2">
        <v>1699</v>
      </c>
      <c r="D34" s="2" t="str" cm="1">
        <f t="array" ref="D34">_xlfn.IFS(Table1[[#This Row],[current_price]]&lt;=500,"Inexpensive",Table1[[#This Row],[current_price]]&lt;=1500,"Moderate",Table1[[#This Row],[current_price]]&gt;1500,"Expensive")</f>
        <v>Moderate</v>
      </c>
      <c r="E34" s="2">
        <f>Table1[[#This Row],[old_price]]-Table1[[#This Row],[current_price]]</f>
        <v>800</v>
      </c>
      <c r="F34" s="3">
        <f>Table1[[#This Row],[discount_calc]]/Table1[[#This Row],[old_price]]</f>
        <v>0.47086521483225424</v>
      </c>
      <c r="G34" s="1">
        <v>0.47</v>
      </c>
      <c r="H34" s="1" t="str" cm="1">
        <f t="array" ref="H34">_xlfn.IFS(Table1[[#This Row],[%discount_calc]]&lt;20%,"Low",Table1[[#This Row],[%discount_calc]]&lt;=40%,"Medium",Table1[[#This Row],[%discount_calc]]&gt;40%,"High")</f>
        <v>High</v>
      </c>
      <c r="I34">
        <v>7</v>
      </c>
      <c r="J34">
        <v>4.2</v>
      </c>
      <c r="K34" t="str" cm="1">
        <f t="array" ref="K34">_xlfn.IFS(Table1[[#This Row],[rating]]&lt;=3,"Poor", Table1[[#This Row],[rating]]&lt;=4.2,"Average", Table1[[#This Row],[rating]]&gt;4.2,"Excellent")</f>
        <v>Average</v>
      </c>
    </row>
    <row r="35" spans="1:11" x14ac:dyDescent="0.5">
      <c r="A35" t="s">
        <v>145</v>
      </c>
      <c r="B35" s="2">
        <v>1190</v>
      </c>
      <c r="C35" s="2">
        <v>1785</v>
      </c>
      <c r="D35" s="2" t="str" cm="1">
        <f t="array" ref="D35">_xlfn.IFS(Table1[[#This Row],[current_price]]&lt;=500,"Inexpensive",Table1[[#This Row],[current_price]]&lt;=1500,"Moderate",Table1[[#This Row],[current_price]]&gt;1500,"Expensive")</f>
        <v>Moderate</v>
      </c>
      <c r="E35" s="2">
        <f>Table1[[#This Row],[old_price]]-Table1[[#This Row],[current_price]]</f>
        <v>595</v>
      </c>
      <c r="F35" s="3">
        <f>Table1[[#This Row],[discount_calc]]/Table1[[#This Row],[old_price]]</f>
        <v>0.33333333333333331</v>
      </c>
      <c r="G35" s="1">
        <v>0.33</v>
      </c>
      <c r="H35" s="1" t="str" cm="1">
        <f t="array" ref="H35">_xlfn.IFS(Table1[[#This Row],[%discount_calc]]&lt;20%,"Low",Table1[[#This Row],[%discount_calc]]&lt;=40%,"Medium",Table1[[#This Row],[%discount_calc]]&gt;40%,"High")</f>
        <v>Medium</v>
      </c>
      <c r="I35">
        <v>7</v>
      </c>
      <c r="J35">
        <v>4.2</v>
      </c>
      <c r="K35" t="str" cm="1">
        <f t="array" ref="K35">_xlfn.IFS(Table1[[#This Row],[rating]]&lt;=3,"Poor", Table1[[#This Row],[rating]]&lt;=4.2,"Average", Table1[[#This Row],[rating]]&gt;4.2,"Excellent")</f>
        <v>Average</v>
      </c>
    </row>
    <row r="36" spans="1:11" x14ac:dyDescent="0.5">
      <c r="A36" t="s">
        <v>240</v>
      </c>
      <c r="B36">
        <v>230</v>
      </c>
      <c r="C36">
        <v>450</v>
      </c>
      <c r="D36" t="str" cm="1">
        <f t="array" ref="D36">_xlfn.IFS(Table1[[#This Row],[current_price]]&lt;=500,"Inexpensive",Table1[[#This Row],[current_price]]&lt;=1500,"Moderate",Table1[[#This Row],[current_price]]&gt;1500,"Expensive")</f>
        <v>Inexpensive</v>
      </c>
      <c r="E36">
        <f>Table1[[#This Row],[old_price]]-Table1[[#This Row],[current_price]]</f>
        <v>220</v>
      </c>
      <c r="F36" s="3">
        <f>Table1[[#This Row],[discount_calc]]/Table1[[#This Row],[old_price]]</f>
        <v>0.48888888888888887</v>
      </c>
      <c r="G36" s="1">
        <v>0.49</v>
      </c>
      <c r="H36" s="1" t="str" cm="1">
        <f t="array" ref="H36">_xlfn.IFS(Table1[[#This Row],[%discount_calc]]&lt;20%,"Low",Table1[[#This Row],[%discount_calc]]&lt;=40%,"Medium",Table1[[#This Row],[%discount_calc]]&gt;40%,"High")</f>
        <v>High</v>
      </c>
      <c r="I36">
        <v>7</v>
      </c>
      <c r="J36">
        <v>4.2</v>
      </c>
      <c r="K36" t="str" cm="1">
        <f t="array" ref="K36">_xlfn.IFS(Table1[[#This Row],[rating]]&lt;=3,"Poor", Table1[[#This Row],[rating]]&lt;=4.2,"Average", Table1[[#This Row],[rating]]&gt;4.2,"Excellent")</f>
        <v>Average</v>
      </c>
    </row>
    <row r="37" spans="1:11" x14ac:dyDescent="0.5">
      <c r="A37" t="s">
        <v>227</v>
      </c>
      <c r="B37">
        <v>968</v>
      </c>
      <c r="C37" s="2">
        <v>1814</v>
      </c>
      <c r="D37" s="2" t="str" cm="1">
        <f t="array" ref="D37">_xlfn.IFS(Table1[[#This Row],[current_price]]&lt;=500,"Inexpensive",Table1[[#This Row],[current_price]]&lt;=1500,"Moderate",Table1[[#This Row],[current_price]]&gt;1500,"Expensive")</f>
        <v>Moderate</v>
      </c>
      <c r="E37" s="2">
        <f>Table1[[#This Row],[old_price]]-Table1[[#This Row],[current_price]]</f>
        <v>846</v>
      </c>
      <c r="F37" s="3">
        <f>Table1[[#This Row],[discount_calc]]/Table1[[#This Row],[old_price]]</f>
        <v>0.46637265711135611</v>
      </c>
      <c r="G37" s="1">
        <v>0.47</v>
      </c>
      <c r="H37" s="1" t="str" cm="1">
        <f t="array" ref="H37">_xlfn.IFS(Table1[[#This Row],[%discount_calc]]&lt;20%,"Low",Table1[[#This Row],[%discount_calc]]&lt;=40%,"Medium",Table1[[#This Row],[%discount_calc]]&gt;40%,"High")</f>
        <v>High</v>
      </c>
      <c r="I37">
        <v>6</v>
      </c>
      <c r="J37">
        <v>2.2000000000000002</v>
      </c>
      <c r="K37" t="str" cm="1">
        <f t="array" ref="K37">_xlfn.IFS(Table1[[#This Row],[rating]]&lt;=3,"Poor", Table1[[#This Row],[rating]]&lt;=4.2,"Average", Table1[[#This Row],[rating]]&gt;4.2,"Excellent")</f>
        <v>Poor</v>
      </c>
    </row>
    <row r="38" spans="1:11" x14ac:dyDescent="0.5">
      <c r="A38" t="s">
        <v>292</v>
      </c>
      <c r="B38" s="2">
        <v>1080</v>
      </c>
      <c r="C38" s="2">
        <v>1874</v>
      </c>
      <c r="D38" s="2" t="str" cm="1">
        <f t="array" ref="D38">_xlfn.IFS(Table1[[#This Row],[current_price]]&lt;=500,"Inexpensive",Table1[[#This Row],[current_price]]&lt;=1500,"Moderate",Table1[[#This Row],[current_price]]&gt;1500,"Expensive")</f>
        <v>Moderate</v>
      </c>
      <c r="E38" s="2">
        <f>Table1[[#This Row],[old_price]]-Table1[[#This Row],[current_price]]</f>
        <v>794</v>
      </c>
      <c r="F38" s="3">
        <f>Table1[[#This Row],[discount_calc]]/Table1[[#This Row],[old_price]]</f>
        <v>0.42369263607257202</v>
      </c>
      <c r="G38" s="1">
        <v>0.42</v>
      </c>
      <c r="H38" s="1" t="str" cm="1">
        <f t="array" ref="H38">_xlfn.IFS(Table1[[#This Row],[%discount_calc]]&lt;20%,"Low",Table1[[#This Row],[%discount_calc]]&lt;=40%,"Medium",Table1[[#This Row],[%discount_calc]]&gt;40%,"High")</f>
        <v>High</v>
      </c>
      <c r="I38">
        <v>7</v>
      </c>
      <c r="J38">
        <v>4.2</v>
      </c>
      <c r="K38" t="str" cm="1">
        <f t="array" ref="K38">_xlfn.IFS(Table1[[#This Row],[rating]]&lt;=3,"Poor", Table1[[#This Row],[rating]]&lt;=4.2,"Average", Table1[[#This Row],[rating]]&gt;4.2,"Excellent")</f>
        <v>Average</v>
      </c>
    </row>
    <row r="39" spans="1:11" x14ac:dyDescent="0.5">
      <c r="A39" t="s">
        <v>298</v>
      </c>
      <c r="B39" s="2">
        <v>1420</v>
      </c>
      <c r="C39" s="2">
        <v>2420</v>
      </c>
      <c r="D39" s="2" t="str" cm="1">
        <f t="array" ref="D39">_xlfn.IFS(Table1[[#This Row],[current_price]]&lt;=500,"Inexpensive",Table1[[#This Row],[current_price]]&lt;=1500,"Moderate",Table1[[#This Row],[current_price]]&gt;1500,"Expensive")</f>
        <v>Moderate</v>
      </c>
      <c r="E39" s="2">
        <f>Table1[[#This Row],[old_price]]-Table1[[#This Row],[current_price]]</f>
        <v>1000</v>
      </c>
      <c r="F39" s="3">
        <f>Table1[[#This Row],[discount_calc]]/Table1[[#This Row],[old_price]]</f>
        <v>0.41322314049586778</v>
      </c>
      <c r="G39" s="1">
        <v>0.41</v>
      </c>
      <c r="H39" s="1" t="str" cm="1">
        <f t="array" ref="H39">_xlfn.IFS(Table1[[#This Row],[%discount_calc]]&lt;20%,"Low",Table1[[#This Row],[%discount_calc]]&lt;=40%,"Medium",Table1[[#This Row],[%discount_calc]]&gt;40%,"High")</f>
        <v>High</v>
      </c>
      <c r="I39">
        <v>7</v>
      </c>
      <c r="J39">
        <v>4.2</v>
      </c>
      <c r="K39" t="str" cm="1">
        <f t="array" ref="K39">_xlfn.IFS(Table1[[#This Row],[rating]]&lt;=3,"Poor", Table1[[#This Row],[rating]]&lt;=4.2,"Average", Table1[[#This Row],[rating]]&gt;4.2,"Excellent")</f>
        <v>Average</v>
      </c>
    </row>
    <row r="40" spans="1:11" x14ac:dyDescent="0.5">
      <c r="A40" t="s">
        <v>215</v>
      </c>
      <c r="B40">
        <v>382</v>
      </c>
      <c r="C40">
        <v>700</v>
      </c>
      <c r="D40" t="str" cm="1">
        <f t="array" ref="D40">_xlfn.IFS(Table1[[#This Row],[current_price]]&lt;=500,"Inexpensive",Table1[[#This Row],[current_price]]&lt;=1500,"Moderate",Table1[[#This Row],[current_price]]&gt;1500,"Expensive")</f>
        <v>Inexpensive</v>
      </c>
      <c r="E40">
        <f>Table1[[#This Row],[old_price]]-Table1[[#This Row],[current_price]]</f>
        <v>318</v>
      </c>
      <c r="F40" s="3">
        <f>Table1[[#This Row],[discount_calc]]/Table1[[#This Row],[old_price]]</f>
        <v>0.45428571428571429</v>
      </c>
      <c r="G40" s="1">
        <v>0.45</v>
      </c>
      <c r="H40" s="1" t="str" cm="1">
        <f t="array" ref="H40">_xlfn.IFS(Table1[[#This Row],[%discount_calc]]&lt;20%,"Low",Table1[[#This Row],[%discount_calc]]&lt;=40%,"Medium",Table1[[#This Row],[%discount_calc]]&gt;40%,"High")</f>
        <v>High</v>
      </c>
      <c r="I40">
        <v>17</v>
      </c>
      <c r="J40">
        <v>2.6</v>
      </c>
      <c r="K40" t="str" cm="1">
        <f t="array" ref="K40">_xlfn.IFS(Table1[[#This Row],[rating]]&lt;=3,"Poor", Table1[[#This Row],[rating]]&lt;=4.2,"Average", Table1[[#This Row],[rating]]&gt;4.2,"Excellent")</f>
        <v>Poor</v>
      </c>
    </row>
    <row r="41" spans="1:11" x14ac:dyDescent="0.5">
      <c r="A41" t="s">
        <v>175</v>
      </c>
      <c r="B41">
        <v>799</v>
      </c>
      <c r="C41" s="2">
        <v>1567</v>
      </c>
      <c r="D41" s="2" t="str" cm="1">
        <f t="array" ref="D41">_xlfn.IFS(Table1[[#This Row],[current_price]]&lt;=500,"Inexpensive",Table1[[#This Row],[current_price]]&lt;=1500,"Moderate",Table1[[#This Row],[current_price]]&gt;1500,"Expensive")</f>
        <v>Moderate</v>
      </c>
      <c r="E41" s="2">
        <f>Table1[[#This Row],[old_price]]-Table1[[#This Row],[current_price]]</f>
        <v>768</v>
      </c>
      <c r="F41" s="3">
        <f>Table1[[#This Row],[discount_calc]]/Table1[[#This Row],[old_price]]</f>
        <v>0.49010848755583919</v>
      </c>
      <c r="G41" s="1">
        <v>0.49</v>
      </c>
      <c r="H41" s="1" t="str" cm="1">
        <f t="array" ref="H41">_xlfn.IFS(Table1[[#This Row],[%discount_calc]]&lt;20%,"Low",Table1[[#This Row],[%discount_calc]]&lt;=40%,"Medium",Table1[[#This Row],[%discount_calc]]&gt;40%,"High")</f>
        <v>High</v>
      </c>
      <c r="I41">
        <v>7</v>
      </c>
      <c r="J41">
        <v>4.2</v>
      </c>
      <c r="K41" t="str" cm="1">
        <f t="array" ref="K41">_xlfn.IFS(Table1[[#This Row],[rating]]&lt;=3,"Poor", Table1[[#This Row],[rating]]&lt;=4.2,"Average", Table1[[#This Row],[rating]]&gt;4.2,"Excellent")</f>
        <v>Average</v>
      </c>
    </row>
    <row r="42" spans="1:11" x14ac:dyDescent="0.5">
      <c r="A42" t="s">
        <v>56</v>
      </c>
      <c r="B42">
        <v>332</v>
      </c>
      <c r="C42">
        <v>684</v>
      </c>
      <c r="D42" t="str" cm="1">
        <f t="array" ref="D42">_xlfn.IFS(Table1[[#This Row],[current_price]]&lt;=500,"Inexpensive",Table1[[#This Row],[current_price]]&lt;=1500,"Moderate",Table1[[#This Row],[current_price]]&gt;1500,"Expensive")</f>
        <v>Inexpensive</v>
      </c>
      <c r="E42">
        <f>Table1[[#This Row],[old_price]]-Table1[[#This Row],[current_price]]</f>
        <v>352</v>
      </c>
      <c r="F42" s="3">
        <f>Table1[[#This Row],[discount_calc]]/Table1[[#This Row],[old_price]]</f>
        <v>0.51461988304093564</v>
      </c>
      <c r="G42" s="1">
        <v>0.51</v>
      </c>
      <c r="H42" s="1" t="str" cm="1">
        <f t="array" ref="H42">_xlfn.IFS(Table1[[#This Row],[%discount_calc]]&lt;20%,"Low",Table1[[#This Row],[%discount_calc]]&lt;=40%,"Medium",Table1[[#This Row],[%discount_calc]]&gt;40%,"High")</f>
        <v>High</v>
      </c>
      <c r="I42">
        <v>2</v>
      </c>
      <c r="J42">
        <v>5</v>
      </c>
      <c r="K42" t="str" cm="1">
        <f t="array" ref="K42">_xlfn.IFS(Table1[[#This Row],[rating]]&lt;=3,"Poor", Table1[[#This Row],[rating]]&lt;=4.2,"Average", Table1[[#This Row],[rating]]&gt;4.2,"Excellent")</f>
        <v>Excellent</v>
      </c>
    </row>
    <row r="43" spans="1:11" x14ac:dyDescent="0.5">
      <c r="A43" t="s">
        <v>206</v>
      </c>
      <c r="B43">
        <v>990</v>
      </c>
      <c r="C43" s="2">
        <v>1814</v>
      </c>
      <c r="D43" s="2" t="str" cm="1">
        <f t="array" ref="D43">_xlfn.IFS(Table1[[#This Row],[current_price]]&lt;=500,"Inexpensive",Table1[[#This Row],[current_price]]&lt;=1500,"Moderate",Table1[[#This Row],[current_price]]&gt;1500,"Expensive")</f>
        <v>Moderate</v>
      </c>
      <c r="E43" s="2">
        <f>Table1[[#This Row],[old_price]]-Table1[[#This Row],[current_price]]</f>
        <v>824</v>
      </c>
      <c r="F43" s="3">
        <f>Table1[[#This Row],[discount_calc]]/Table1[[#This Row],[old_price]]</f>
        <v>0.45424476295479604</v>
      </c>
      <c r="G43" s="1">
        <v>0.45</v>
      </c>
      <c r="H43" s="1" t="str" cm="1">
        <f t="array" ref="H43">_xlfn.IFS(Table1[[#This Row],[%discount_calc]]&lt;20%,"Low",Table1[[#This Row],[%discount_calc]]&lt;=40%,"Medium",Table1[[#This Row],[%discount_calc]]&gt;40%,"High")</f>
        <v>High</v>
      </c>
      <c r="I43">
        <v>6</v>
      </c>
      <c r="J43">
        <v>2.2000000000000002</v>
      </c>
      <c r="K43" t="str" cm="1">
        <f t="array" ref="K43">_xlfn.IFS(Table1[[#This Row],[rating]]&lt;=3,"Poor", Table1[[#This Row],[rating]]&lt;=4.2,"Average", Table1[[#This Row],[rating]]&gt;4.2,"Excellent")</f>
        <v>Poor</v>
      </c>
    </row>
    <row r="44" spans="1:11" x14ac:dyDescent="0.5">
      <c r="A44" t="s">
        <v>289</v>
      </c>
      <c r="B44">
        <v>525</v>
      </c>
      <c r="C44" s="2">
        <v>1029</v>
      </c>
      <c r="D44" s="2" t="str" cm="1">
        <f t="array" ref="D44">_xlfn.IFS(Table1[[#This Row],[current_price]]&lt;=500,"Inexpensive",Table1[[#This Row],[current_price]]&lt;=1500,"Moderate",Table1[[#This Row],[current_price]]&gt;1500,"Expensive")</f>
        <v>Moderate</v>
      </c>
      <c r="E44" s="2">
        <f>Table1[[#This Row],[old_price]]-Table1[[#This Row],[current_price]]</f>
        <v>504</v>
      </c>
      <c r="F44" s="3">
        <f>Table1[[#This Row],[discount_calc]]/Table1[[#This Row],[old_price]]</f>
        <v>0.48979591836734693</v>
      </c>
      <c r="G44" s="1">
        <v>0.49</v>
      </c>
      <c r="H44" s="1" t="str" cm="1">
        <f t="array" ref="H44">_xlfn.IFS(Table1[[#This Row],[%discount_calc]]&lt;20%,"Low",Table1[[#This Row],[%discount_calc]]&lt;=40%,"Medium",Table1[[#This Row],[%discount_calc]]&gt;40%,"High")</f>
        <v>High</v>
      </c>
      <c r="I44">
        <v>7</v>
      </c>
      <c r="J44">
        <v>4.2</v>
      </c>
      <c r="K44" t="str" cm="1">
        <f t="array" ref="K44">_xlfn.IFS(Table1[[#This Row],[rating]]&lt;=3,"Poor", Table1[[#This Row],[rating]]&lt;=4.2,"Average", Table1[[#This Row],[rating]]&gt;4.2,"Excellent")</f>
        <v>Average</v>
      </c>
    </row>
    <row r="45" spans="1:11" x14ac:dyDescent="0.5">
      <c r="A45" t="s">
        <v>137</v>
      </c>
      <c r="B45">
        <v>610</v>
      </c>
      <c r="C45" s="2">
        <v>1060</v>
      </c>
      <c r="D45" s="2" t="str" cm="1">
        <f t="array" ref="D45">_xlfn.IFS(Table1[[#This Row],[current_price]]&lt;=500,"Inexpensive",Table1[[#This Row],[current_price]]&lt;=1500,"Moderate",Table1[[#This Row],[current_price]]&gt;1500,"Expensive")</f>
        <v>Moderate</v>
      </c>
      <c r="E45" s="2">
        <f>Table1[[#This Row],[old_price]]-Table1[[#This Row],[current_price]]</f>
        <v>450</v>
      </c>
      <c r="F45" s="3">
        <f>Table1[[#This Row],[discount_calc]]/Table1[[#This Row],[old_price]]</f>
        <v>0.42452830188679247</v>
      </c>
      <c r="G45" s="1">
        <v>0.42</v>
      </c>
      <c r="H45" s="1" t="str" cm="1">
        <f t="array" ref="H45">_xlfn.IFS(Table1[[#This Row],[%discount_calc]]&lt;20%,"Low",Table1[[#This Row],[%discount_calc]]&lt;=40%,"Medium",Table1[[#This Row],[%discount_calc]]&gt;40%,"High")</f>
        <v>High</v>
      </c>
      <c r="I45">
        <v>7</v>
      </c>
      <c r="J45">
        <v>4.2</v>
      </c>
      <c r="K45" t="str" cm="1">
        <f t="array" ref="K45">_xlfn.IFS(Table1[[#This Row],[rating]]&lt;=3,"Poor", Table1[[#This Row],[rating]]&lt;=4.2,"Average", Table1[[#This Row],[rating]]&gt;4.2,"Excellent")</f>
        <v>Average</v>
      </c>
    </row>
    <row r="46" spans="1:11" x14ac:dyDescent="0.5">
      <c r="A46" t="s">
        <v>245</v>
      </c>
      <c r="B46">
        <v>979</v>
      </c>
      <c r="C46" s="2">
        <v>1920</v>
      </c>
      <c r="D46" s="2" t="str" cm="1">
        <f t="array" ref="D46">_xlfn.IFS(Table1[[#This Row],[current_price]]&lt;=500,"Inexpensive",Table1[[#This Row],[current_price]]&lt;=1500,"Moderate",Table1[[#This Row],[current_price]]&gt;1500,"Expensive")</f>
        <v>Moderate</v>
      </c>
      <c r="E46" s="2">
        <f>Table1[[#This Row],[old_price]]-Table1[[#This Row],[current_price]]</f>
        <v>941</v>
      </c>
      <c r="F46" s="3">
        <f>Table1[[#This Row],[discount_calc]]/Table1[[#This Row],[old_price]]</f>
        <v>0.49010416666666667</v>
      </c>
      <c r="G46" s="1">
        <v>0.49</v>
      </c>
      <c r="H46" s="1" t="str" cm="1">
        <f t="array" ref="H46">_xlfn.IFS(Table1[[#This Row],[%discount_calc]]&lt;20%,"Low",Table1[[#This Row],[%discount_calc]]&lt;=40%,"Medium",Table1[[#This Row],[%discount_calc]]&gt;40%,"High")</f>
        <v>High</v>
      </c>
      <c r="I46">
        <v>1</v>
      </c>
      <c r="J46">
        <v>5</v>
      </c>
      <c r="K46" t="str" cm="1">
        <f t="array" ref="K46">_xlfn.IFS(Table1[[#This Row],[rating]]&lt;=3,"Poor", Table1[[#This Row],[rating]]&lt;=4.2,"Average", Table1[[#This Row],[rating]]&gt;4.2,"Excellent")</f>
        <v>Excellent</v>
      </c>
    </row>
    <row r="47" spans="1:11" x14ac:dyDescent="0.5">
      <c r="A47" t="s">
        <v>320</v>
      </c>
      <c r="B47">
        <v>169</v>
      </c>
      <c r="C47">
        <v>320</v>
      </c>
      <c r="D47" t="str" cm="1">
        <f t="array" ref="D47">_xlfn.IFS(Table1[[#This Row],[current_price]]&lt;=500,"Inexpensive",Table1[[#This Row],[current_price]]&lt;=1500,"Moderate",Table1[[#This Row],[current_price]]&gt;1500,"Expensive")</f>
        <v>Inexpensive</v>
      </c>
      <c r="E47">
        <f>Table1[[#This Row],[old_price]]-Table1[[#This Row],[current_price]]</f>
        <v>151</v>
      </c>
      <c r="F47" s="3">
        <f>Table1[[#This Row],[discount_calc]]/Table1[[#This Row],[old_price]]</f>
        <v>0.47187499999999999</v>
      </c>
      <c r="G47" s="1">
        <v>0.47</v>
      </c>
      <c r="H47" s="1" t="str" cm="1">
        <f t="array" ref="H47">_xlfn.IFS(Table1[[#This Row],[%discount_calc]]&lt;20%,"Low",Table1[[#This Row],[%discount_calc]]&lt;=40%,"Medium",Table1[[#This Row],[%discount_calc]]&gt;40%,"High")</f>
        <v>High</v>
      </c>
      <c r="I47">
        <v>7</v>
      </c>
      <c r="J47">
        <v>4.2</v>
      </c>
      <c r="K47" t="str" cm="1">
        <f t="array" ref="K47">_xlfn.IFS(Table1[[#This Row],[rating]]&lt;=3,"Poor", Table1[[#This Row],[rating]]&lt;=4.2,"Average", Table1[[#This Row],[rating]]&gt;4.2,"Excellent")</f>
        <v>Average</v>
      </c>
    </row>
    <row r="48" spans="1:11" x14ac:dyDescent="0.5">
      <c r="A48" t="s">
        <v>157</v>
      </c>
      <c r="B48">
        <v>299</v>
      </c>
      <c r="C48">
        <v>600</v>
      </c>
      <c r="D48" t="str" cm="1">
        <f t="array" ref="D48">_xlfn.IFS(Table1[[#This Row],[current_price]]&lt;=500,"Inexpensive",Table1[[#This Row],[current_price]]&lt;=1500,"Moderate",Table1[[#This Row],[current_price]]&gt;1500,"Expensive")</f>
        <v>Inexpensive</v>
      </c>
      <c r="E48">
        <f>Table1[[#This Row],[old_price]]-Table1[[#This Row],[current_price]]</f>
        <v>301</v>
      </c>
      <c r="F48" s="3">
        <f>Table1[[#This Row],[discount_calc]]/Table1[[#This Row],[old_price]]</f>
        <v>0.50166666666666671</v>
      </c>
      <c r="G48" s="1">
        <v>0.5</v>
      </c>
      <c r="H48" s="1" t="str" cm="1">
        <f t="array" ref="H48">_xlfn.IFS(Table1[[#This Row],[%discount_calc]]&lt;20%,"Low",Table1[[#This Row],[%discount_calc]]&lt;=40%,"Medium",Table1[[#This Row],[%discount_calc]]&gt;40%,"High")</f>
        <v>High</v>
      </c>
      <c r="I48">
        <v>7</v>
      </c>
      <c r="J48">
        <v>4.2</v>
      </c>
      <c r="K48" t="str" cm="1">
        <f t="array" ref="K48">_xlfn.IFS(Table1[[#This Row],[rating]]&lt;=3,"Poor", Table1[[#This Row],[rating]]&lt;=4.2,"Average", Table1[[#This Row],[rating]]&gt;4.2,"Excellent")</f>
        <v>Average</v>
      </c>
    </row>
    <row r="49" spans="1:11" x14ac:dyDescent="0.5">
      <c r="A49" t="s">
        <v>148</v>
      </c>
      <c r="B49">
        <v>671</v>
      </c>
      <c r="C49" s="2">
        <v>1316</v>
      </c>
      <c r="D49" s="2" t="str" cm="1">
        <f t="array" ref="D49">_xlfn.IFS(Table1[[#This Row],[current_price]]&lt;=500,"Inexpensive",Table1[[#This Row],[current_price]]&lt;=1500,"Moderate",Table1[[#This Row],[current_price]]&gt;1500,"Expensive")</f>
        <v>Moderate</v>
      </c>
      <c r="E49" s="2">
        <f>Table1[[#This Row],[old_price]]-Table1[[#This Row],[current_price]]</f>
        <v>645</v>
      </c>
      <c r="F49" s="3">
        <f>Table1[[#This Row],[discount_calc]]/Table1[[#This Row],[old_price]]</f>
        <v>0.49012158054711247</v>
      </c>
      <c r="G49" s="1">
        <v>0.49</v>
      </c>
      <c r="H49" s="1" t="str" cm="1">
        <f t="array" ref="H49">_xlfn.IFS(Table1[[#This Row],[%discount_calc]]&lt;20%,"Low",Table1[[#This Row],[%discount_calc]]&lt;=40%,"Medium",Table1[[#This Row],[%discount_calc]]&gt;40%,"High")</f>
        <v>High</v>
      </c>
      <c r="I49">
        <v>7</v>
      </c>
      <c r="J49">
        <v>4.2</v>
      </c>
      <c r="K49" t="str" cm="1">
        <f t="array" ref="K49">_xlfn.IFS(Table1[[#This Row],[rating]]&lt;=3,"Poor", Table1[[#This Row],[rating]]&lt;=4.2,"Average", Table1[[#This Row],[rating]]&gt;4.2,"Excellent")</f>
        <v>Average</v>
      </c>
    </row>
    <row r="50" spans="1:11" x14ac:dyDescent="0.5">
      <c r="A50" t="s">
        <v>258</v>
      </c>
      <c r="B50">
        <v>274</v>
      </c>
      <c r="C50">
        <v>537</v>
      </c>
      <c r="D50" t="str" cm="1">
        <f t="array" ref="D50">_xlfn.IFS(Table1[[#This Row],[current_price]]&lt;=500,"Inexpensive",Table1[[#This Row],[current_price]]&lt;=1500,"Moderate",Table1[[#This Row],[current_price]]&gt;1500,"Expensive")</f>
        <v>Inexpensive</v>
      </c>
      <c r="E50">
        <f>Table1[[#This Row],[old_price]]-Table1[[#This Row],[current_price]]</f>
        <v>263</v>
      </c>
      <c r="F50" s="3">
        <f>Table1[[#This Row],[discount_calc]]/Table1[[#This Row],[old_price]]</f>
        <v>0.48975791433891991</v>
      </c>
      <c r="G50" s="1">
        <v>0.49</v>
      </c>
      <c r="H50" s="1" t="str" cm="1">
        <f t="array" ref="H50">_xlfn.IFS(Table1[[#This Row],[%discount_calc]]&lt;20%,"Low",Table1[[#This Row],[%discount_calc]]&lt;=40%,"Medium",Table1[[#This Row],[%discount_calc]]&gt;40%,"High")</f>
        <v>High</v>
      </c>
      <c r="I50">
        <v>7</v>
      </c>
      <c r="J50">
        <v>4.2</v>
      </c>
      <c r="K50" t="str" cm="1">
        <f t="array" ref="K50">_xlfn.IFS(Table1[[#This Row],[rating]]&lt;=3,"Poor", Table1[[#This Row],[rating]]&lt;=4.2,"Average", Table1[[#This Row],[rating]]&gt;4.2,"Excellent")</f>
        <v>Average</v>
      </c>
    </row>
    <row r="51" spans="1:11" x14ac:dyDescent="0.5">
      <c r="A51" t="s">
        <v>310</v>
      </c>
      <c r="B51" s="2">
        <v>1190</v>
      </c>
      <c r="C51" s="2">
        <v>1810</v>
      </c>
      <c r="D51" s="2" t="str" cm="1">
        <f t="array" ref="D51">_xlfn.IFS(Table1[[#This Row],[current_price]]&lt;=500,"Inexpensive",Table1[[#This Row],[current_price]]&lt;=1500,"Moderate",Table1[[#This Row],[current_price]]&gt;1500,"Expensive")</f>
        <v>Moderate</v>
      </c>
      <c r="E51" s="2">
        <f>Table1[[#This Row],[old_price]]-Table1[[#This Row],[current_price]]</f>
        <v>620</v>
      </c>
      <c r="F51" s="3">
        <f>Table1[[#This Row],[discount_calc]]/Table1[[#This Row],[old_price]]</f>
        <v>0.34254143646408841</v>
      </c>
      <c r="G51" s="1">
        <v>0.34</v>
      </c>
      <c r="H51" s="1" t="str" cm="1">
        <f t="array" ref="H51">_xlfn.IFS(Table1[[#This Row],[%discount_calc]]&lt;20%,"Low",Table1[[#This Row],[%discount_calc]]&lt;=40%,"Medium",Table1[[#This Row],[%discount_calc]]&gt;40%,"High")</f>
        <v>Medium</v>
      </c>
      <c r="I51">
        <v>7</v>
      </c>
      <c r="J51">
        <v>4.2</v>
      </c>
      <c r="K51" t="str" cm="1">
        <f t="array" ref="K51">_xlfn.IFS(Table1[[#This Row],[rating]]&lt;=3,"Poor", Table1[[#This Row],[rating]]&lt;=4.2,"Average", Table1[[#This Row],[rating]]&gt;4.2,"Excellent")</f>
        <v>Average</v>
      </c>
    </row>
    <row r="52" spans="1:11" x14ac:dyDescent="0.5">
      <c r="A52" t="s">
        <v>143</v>
      </c>
      <c r="B52">
        <v>999</v>
      </c>
      <c r="C52" s="2">
        <v>2000</v>
      </c>
      <c r="D52" s="2" t="str" cm="1">
        <f t="array" ref="D52">_xlfn.IFS(Table1[[#This Row],[current_price]]&lt;=500,"Inexpensive",Table1[[#This Row],[current_price]]&lt;=1500,"Moderate",Table1[[#This Row],[current_price]]&gt;1500,"Expensive")</f>
        <v>Moderate</v>
      </c>
      <c r="E52" s="2">
        <f>Table1[[#This Row],[old_price]]-Table1[[#This Row],[current_price]]</f>
        <v>1001</v>
      </c>
      <c r="F52" s="3">
        <f>Table1[[#This Row],[discount_calc]]/Table1[[#This Row],[old_price]]</f>
        <v>0.50049999999999994</v>
      </c>
      <c r="G52" s="1">
        <v>0.5</v>
      </c>
      <c r="H52" s="1" t="str" cm="1">
        <f t="array" ref="H52">_xlfn.IFS(Table1[[#This Row],[%discount_calc]]&lt;20%,"Low",Table1[[#This Row],[%discount_calc]]&lt;=40%,"Medium",Table1[[#This Row],[%discount_calc]]&gt;40%,"High")</f>
        <v>High</v>
      </c>
      <c r="I52">
        <v>7</v>
      </c>
      <c r="J52">
        <v>4.2</v>
      </c>
      <c r="K52" t="str" cm="1">
        <f t="array" ref="K52">_xlfn.IFS(Table1[[#This Row],[rating]]&lt;=3,"Poor", Table1[[#This Row],[rating]]&lt;=4.2,"Average", Table1[[#This Row],[rating]]&gt;4.2,"Excellent")</f>
        <v>Average</v>
      </c>
    </row>
    <row r="53" spans="1:11" x14ac:dyDescent="0.5">
      <c r="A53" t="s">
        <v>173</v>
      </c>
      <c r="B53">
        <v>699</v>
      </c>
      <c r="C53" s="2">
        <v>1343</v>
      </c>
      <c r="D53" s="2" t="str" cm="1">
        <f t="array" ref="D53">_xlfn.IFS(Table1[[#This Row],[current_price]]&lt;=500,"Inexpensive",Table1[[#This Row],[current_price]]&lt;=1500,"Moderate",Table1[[#This Row],[current_price]]&gt;1500,"Expensive")</f>
        <v>Moderate</v>
      </c>
      <c r="E53" s="2">
        <f>Table1[[#This Row],[old_price]]-Table1[[#This Row],[current_price]]</f>
        <v>644</v>
      </c>
      <c r="F53" s="3">
        <f>Table1[[#This Row],[discount_calc]]/Table1[[#This Row],[old_price]]</f>
        <v>0.47952345495160087</v>
      </c>
      <c r="G53" s="1">
        <v>0.48</v>
      </c>
      <c r="H53" s="1" t="str" cm="1">
        <f t="array" ref="H53">_xlfn.IFS(Table1[[#This Row],[%discount_calc]]&lt;20%,"Low",Table1[[#This Row],[%discount_calc]]&lt;=40%,"Medium",Table1[[#This Row],[%discount_calc]]&gt;40%,"High")</f>
        <v>High</v>
      </c>
      <c r="I53">
        <v>7</v>
      </c>
      <c r="J53">
        <v>4.2</v>
      </c>
      <c r="K53" t="str" cm="1">
        <f t="array" ref="K53">_xlfn.IFS(Table1[[#This Row],[rating]]&lt;=3,"Poor", Table1[[#This Row],[rating]]&lt;=4.2,"Average", Table1[[#This Row],[rating]]&gt;4.2,"Excellent")</f>
        <v>Average</v>
      </c>
    </row>
    <row r="54" spans="1:11" x14ac:dyDescent="0.5">
      <c r="A54" t="s">
        <v>120</v>
      </c>
      <c r="B54">
        <v>171</v>
      </c>
      <c r="C54">
        <v>360</v>
      </c>
      <c r="D54" t="str" cm="1">
        <f t="array" ref="D54">_xlfn.IFS(Table1[[#This Row],[current_price]]&lt;=500,"Inexpensive",Table1[[#This Row],[current_price]]&lt;=1500,"Moderate",Table1[[#This Row],[current_price]]&gt;1500,"Expensive")</f>
        <v>Inexpensive</v>
      </c>
      <c r="E54">
        <f>Table1[[#This Row],[old_price]]-Table1[[#This Row],[current_price]]</f>
        <v>189</v>
      </c>
      <c r="F54" s="3">
        <f>Table1[[#This Row],[discount_calc]]/Table1[[#This Row],[old_price]]</f>
        <v>0.52500000000000002</v>
      </c>
      <c r="G54" s="1">
        <v>0.53</v>
      </c>
      <c r="H54" s="1" t="str" cm="1">
        <f t="array" ref="H54">_xlfn.IFS(Table1[[#This Row],[%discount_calc]]&lt;20%,"Low",Table1[[#This Row],[%discount_calc]]&lt;=40%,"Medium",Table1[[#This Row],[%discount_calc]]&gt;40%,"High")</f>
        <v>High</v>
      </c>
      <c r="I54">
        <v>2</v>
      </c>
      <c r="J54">
        <v>5</v>
      </c>
      <c r="K54" t="str" cm="1">
        <f t="array" ref="K54">_xlfn.IFS(Table1[[#This Row],[rating]]&lt;=3,"Poor", Table1[[#This Row],[rating]]&lt;=4.2,"Average", Table1[[#This Row],[rating]]&gt;4.2,"Excellent")</f>
        <v>Excellent</v>
      </c>
    </row>
    <row r="55" spans="1:11" x14ac:dyDescent="0.5">
      <c r="A55" t="s">
        <v>154</v>
      </c>
      <c r="B55">
        <v>199</v>
      </c>
      <c r="C55">
        <v>504</v>
      </c>
      <c r="D55" t="str" cm="1">
        <f t="array" ref="D55">_xlfn.IFS(Table1[[#This Row],[current_price]]&lt;=500,"Inexpensive",Table1[[#This Row],[current_price]]&lt;=1500,"Moderate",Table1[[#This Row],[current_price]]&gt;1500,"Expensive")</f>
        <v>Inexpensive</v>
      </c>
      <c r="E55">
        <f>Table1[[#This Row],[old_price]]-Table1[[#This Row],[current_price]]</f>
        <v>305</v>
      </c>
      <c r="F55" s="3">
        <f>Table1[[#This Row],[discount_calc]]/Table1[[#This Row],[old_price]]</f>
        <v>0.60515873015873012</v>
      </c>
      <c r="G55" s="1">
        <v>0.61</v>
      </c>
      <c r="H55" s="1" t="str" cm="1">
        <f t="array" ref="H55">_xlfn.IFS(Table1[[#This Row],[%discount_calc]]&lt;20%,"Low",Table1[[#This Row],[%discount_calc]]&lt;=40%,"Medium",Table1[[#This Row],[%discount_calc]]&gt;40%,"High")</f>
        <v>High</v>
      </c>
      <c r="I55">
        <v>7</v>
      </c>
      <c r="J55">
        <v>4.2</v>
      </c>
      <c r="K55" t="str" cm="1">
        <f t="array" ref="K55">_xlfn.IFS(Table1[[#This Row],[rating]]&lt;=3,"Poor", Table1[[#This Row],[rating]]&lt;=4.2,"Average", Table1[[#This Row],[rating]]&gt;4.2,"Excellent")</f>
        <v>Average</v>
      </c>
    </row>
    <row r="56" spans="1:11" x14ac:dyDescent="0.5">
      <c r="A56" t="s">
        <v>237</v>
      </c>
      <c r="B56" s="2">
        <v>1732</v>
      </c>
      <c r="C56" s="2">
        <v>1799</v>
      </c>
      <c r="D56" s="2" t="str" cm="1">
        <f t="array" ref="D56">_xlfn.IFS(Table1[[#This Row],[current_price]]&lt;=500,"Inexpensive",Table1[[#This Row],[current_price]]&lt;=1500,"Moderate",Table1[[#This Row],[current_price]]&gt;1500,"Expensive")</f>
        <v>Expensive</v>
      </c>
      <c r="E56" s="2">
        <f>Table1[[#This Row],[old_price]]-Table1[[#This Row],[current_price]]</f>
        <v>67</v>
      </c>
      <c r="F56" s="3">
        <f>Table1[[#This Row],[discount_calc]]/Table1[[#This Row],[old_price]]</f>
        <v>3.7242912729294052E-2</v>
      </c>
      <c r="G56" s="1">
        <v>0.04</v>
      </c>
      <c r="H56" s="1" t="str" cm="1">
        <f t="array" ref="H56">_xlfn.IFS(Table1[[#This Row],[%discount_calc]]&lt;20%,"Low",Table1[[#This Row],[%discount_calc]]&lt;=40%,"Medium",Table1[[#This Row],[%discount_calc]]&gt;40%,"High")</f>
        <v>Low</v>
      </c>
      <c r="I56">
        <v>7</v>
      </c>
      <c r="J56">
        <v>4.2</v>
      </c>
      <c r="K56" t="str" cm="1">
        <f t="array" ref="K56">_xlfn.IFS(Table1[[#This Row],[rating]]&lt;=3,"Poor", Table1[[#This Row],[rating]]&lt;=4.2,"Average", Table1[[#This Row],[rating]]&gt;4.2,"Excellent")</f>
        <v>Average</v>
      </c>
    </row>
    <row r="57" spans="1:11" x14ac:dyDescent="0.5">
      <c r="A57" t="s">
        <v>168</v>
      </c>
      <c r="B57">
        <v>799</v>
      </c>
      <c r="C57" s="2">
        <v>1343</v>
      </c>
      <c r="D57" s="2" t="str" cm="1">
        <f t="array" ref="D57">_xlfn.IFS(Table1[[#This Row],[current_price]]&lt;=500,"Inexpensive",Table1[[#This Row],[current_price]]&lt;=1500,"Moderate",Table1[[#This Row],[current_price]]&gt;1500,"Expensive")</f>
        <v>Moderate</v>
      </c>
      <c r="E57" s="2">
        <f>Table1[[#This Row],[old_price]]-Table1[[#This Row],[current_price]]</f>
        <v>544</v>
      </c>
      <c r="F57" s="3">
        <f>Table1[[#This Row],[discount_calc]]/Table1[[#This Row],[old_price]]</f>
        <v>0.4050632911392405</v>
      </c>
      <c r="G57" s="1">
        <v>0.41</v>
      </c>
      <c r="H57" s="1" t="str" cm="1">
        <f t="array" ref="H57">_xlfn.IFS(Table1[[#This Row],[%discount_calc]]&lt;20%,"Low",Table1[[#This Row],[%discount_calc]]&lt;=40%,"Medium",Table1[[#This Row],[%discount_calc]]&gt;40%,"High")</f>
        <v>High</v>
      </c>
      <c r="I57">
        <v>7</v>
      </c>
      <c r="J57">
        <v>4.2</v>
      </c>
      <c r="K57" t="str" cm="1">
        <f t="array" ref="K57">_xlfn.IFS(Table1[[#This Row],[rating]]&lt;=3,"Poor", Table1[[#This Row],[rating]]&lt;=4.2,"Average", Table1[[#This Row],[rating]]&gt;4.2,"Excellent")</f>
        <v>Average</v>
      </c>
    </row>
    <row r="58" spans="1:11" x14ac:dyDescent="0.5">
      <c r="A58" t="s">
        <v>33</v>
      </c>
      <c r="B58">
        <v>988</v>
      </c>
      <c r="C58" s="2">
        <v>1580</v>
      </c>
      <c r="D58" s="2" t="str" cm="1">
        <f t="array" ref="D58">_xlfn.IFS(Table1[[#This Row],[current_price]]&lt;=500,"Inexpensive",Table1[[#This Row],[current_price]]&lt;=1500,"Moderate",Table1[[#This Row],[current_price]]&gt;1500,"Expensive")</f>
        <v>Moderate</v>
      </c>
      <c r="E58" s="2">
        <f>Table1[[#This Row],[old_price]]-Table1[[#This Row],[current_price]]</f>
        <v>592</v>
      </c>
      <c r="F58" s="3">
        <f>Table1[[#This Row],[discount_calc]]/Table1[[#This Row],[old_price]]</f>
        <v>0.37468354430379747</v>
      </c>
      <c r="G58" s="1">
        <v>0.37</v>
      </c>
      <c r="H58" s="1" t="str" cm="1">
        <f t="array" ref="H58">_xlfn.IFS(Table1[[#This Row],[%discount_calc]]&lt;20%,"Low",Table1[[#This Row],[%discount_calc]]&lt;=40%,"Medium",Table1[[#This Row],[%discount_calc]]&gt;40%,"High")</f>
        <v>Medium</v>
      </c>
      <c r="I58">
        <v>2</v>
      </c>
      <c r="J58">
        <v>4</v>
      </c>
      <c r="K58" t="str" cm="1">
        <f t="array" ref="K58">_xlfn.IFS(Table1[[#This Row],[rating]]&lt;=3,"Poor", Table1[[#This Row],[rating]]&lt;=4.2,"Average", Table1[[#This Row],[rating]]&gt;4.2,"Excellent")</f>
        <v>Average</v>
      </c>
    </row>
    <row r="59" spans="1:11" x14ac:dyDescent="0.5">
      <c r="A59" t="s">
        <v>117</v>
      </c>
      <c r="B59" s="2">
        <v>1620</v>
      </c>
      <c r="C59" s="2">
        <v>2690</v>
      </c>
      <c r="D59" s="2" t="str" cm="1">
        <f t="array" ref="D59">_xlfn.IFS(Table1[[#This Row],[current_price]]&lt;=500,"Inexpensive",Table1[[#This Row],[current_price]]&lt;=1500,"Moderate",Table1[[#This Row],[current_price]]&gt;1500,"Expensive")</f>
        <v>Expensive</v>
      </c>
      <c r="E59" s="2">
        <f>Table1[[#This Row],[old_price]]-Table1[[#This Row],[current_price]]</f>
        <v>1070</v>
      </c>
      <c r="F59" s="3">
        <f>Table1[[#This Row],[discount_calc]]/Table1[[#This Row],[old_price]]</f>
        <v>0.39776951672862454</v>
      </c>
      <c r="G59" s="1">
        <v>0.4</v>
      </c>
      <c r="H59" s="1" t="str" cm="1">
        <f t="array" ref="H59">_xlfn.IFS(Table1[[#This Row],[%discount_calc]]&lt;20%,"Low",Table1[[#This Row],[%discount_calc]]&lt;=40%,"Medium",Table1[[#This Row],[%discount_calc]]&gt;40%,"High")</f>
        <v>Medium</v>
      </c>
      <c r="I59">
        <v>1</v>
      </c>
      <c r="J59">
        <v>5</v>
      </c>
      <c r="K59" t="str" cm="1">
        <f t="array" ref="K59">_xlfn.IFS(Table1[[#This Row],[rating]]&lt;=3,"Poor", Table1[[#This Row],[rating]]&lt;=4.2,"Average", Table1[[#This Row],[rating]]&gt;4.2,"Excellent")</f>
        <v>Excellent</v>
      </c>
    </row>
    <row r="60" spans="1:11" x14ac:dyDescent="0.5">
      <c r="A60" t="s">
        <v>229</v>
      </c>
      <c r="B60" s="2">
        <v>1570</v>
      </c>
      <c r="C60" s="2">
        <v>2988</v>
      </c>
      <c r="D60" s="2" t="str" cm="1">
        <f t="array" ref="D60">_xlfn.IFS(Table1[[#This Row],[current_price]]&lt;=500,"Inexpensive",Table1[[#This Row],[current_price]]&lt;=1500,"Moderate",Table1[[#This Row],[current_price]]&gt;1500,"Expensive")</f>
        <v>Expensive</v>
      </c>
      <c r="E60" s="2">
        <f>Table1[[#This Row],[old_price]]-Table1[[#This Row],[current_price]]</f>
        <v>1418</v>
      </c>
      <c r="F60" s="3">
        <f>Table1[[#This Row],[discount_calc]]/Table1[[#This Row],[old_price]]</f>
        <v>0.4745649263721553</v>
      </c>
      <c r="G60" s="1">
        <v>0.47</v>
      </c>
      <c r="H60" s="1" t="str" cm="1">
        <f t="array" ref="H60">_xlfn.IFS(Table1[[#This Row],[%discount_calc]]&lt;20%,"Low",Table1[[#This Row],[%discount_calc]]&lt;=40%,"Medium",Table1[[#This Row],[%discount_calc]]&gt;40%,"High")</f>
        <v>High</v>
      </c>
      <c r="I60">
        <v>7</v>
      </c>
      <c r="J60">
        <v>2.1</v>
      </c>
      <c r="K60" t="str" cm="1">
        <f t="array" ref="K60">_xlfn.IFS(Table1[[#This Row],[rating]]&lt;=3,"Poor", Table1[[#This Row],[rating]]&lt;=4.2,"Average", Table1[[#This Row],[rating]]&gt;4.2,"Excellent")</f>
        <v>Poor</v>
      </c>
    </row>
    <row r="61" spans="1:11" x14ac:dyDescent="0.5">
      <c r="A61" t="s">
        <v>89</v>
      </c>
      <c r="B61">
        <v>420</v>
      </c>
      <c r="C61">
        <v>647</v>
      </c>
      <c r="D61" t="str" cm="1">
        <f t="array" ref="D61">_xlfn.IFS(Table1[[#This Row],[current_price]]&lt;=500,"Inexpensive",Table1[[#This Row],[current_price]]&lt;=1500,"Moderate",Table1[[#This Row],[current_price]]&gt;1500,"Expensive")</f>
        <v>Inexpensive</v>
      </c>
      <c r="E61">
        <f>Table1[[#This Row],[old_price]]-Table1[[#This Row],[current_price]]</f>
        <v>227</v>
      </c>
      <c r="F61" s="3">
        <f>Table1[[#This Row],[discount_calc]]/Table1[[#This Row],[old_price]]</f>
        <v>0.3508500772797527</v>
      </c>
      <c r="G61" s="1">
        <v>0.35</v>
      </c>
      <c r="H61" s="1" t="str" cm="1">
        <f t="array" ref="H61">_xlfn.IFS(Table1[[#This Row],[%discount_calc]]&lt;20%,"Low",Table1[[#This Row],[%discount_calc]]&lt;=40%,"Medium",Table1[[#This Row],[%discount_calc]]&gt;40%,"High")</f>
        <v>Medium</v>
      </c>
      <c r="I61">
        <v>49</v>
      </c>
      <c r="J61">
        <v>4.5999999999999996</v>
      </c>
      <c r="K61" t="str" cm="1">
        <f t="array" ref="K61">_xlfn.IFS(Table1[[#This Row],[rating]]&lt;=3,"Poor", Table1[[#This Row],[rating]]&lt;=4.2,"Average", Table1[[#This Row],[rating]]&gt;4.2,"Excellent")</f>
        <v>Excellent</v>
      </c>
    </row>
    <row r="62" spans="1:11" x14ac:dyDescent="0.5">
      <c r="A62" t="s">
        <v>102</v>
      </c>
      <c r="B62">
        <v>185</v>
      </c>
      <c r="C62">
        <v>382</v>
      </c>
      <c r="D62" t="str" cm="1">
        <f t="array" ref="D62">_xlfn.IFS(Table1[[#This Row],[current_price]]&lt;=500,"Inexpensive",Table1[[#This Row],[current_price]]&lt;=1500,"Moderate",Table1[[#This Row],[current_price]]&gt;1500,"Expensive")</f>
        <v>Inexpensive</v>
      </c>
      <c r="E62">
        <f>Table1[[#This Row],[old_price]]-Table1[[#This Row],[current_price]]</f>
        <v>197</v>
      </c>
      <c r="F62" s="3">
        <f>Table1[[#This Row],[discount_calc]]/Table1[[#This Row],[old_price]]</f>
        <v>0.51570680628272247</v>
      </c>
      <c r="G62" s="1">
        <v>0.52</v>
      </c>
      <c r="H62" s="1" t="str" cm="1">
        <f t="array" ref="H62">_xlfn.IFS(Table1[[#This Row],[%discount_calc]]&lt;20%,"Low",Table1[[#This Row],[%discount_calc]]&lt;=40%,"Medium",Table1[[#This Row],[%discount_calc]]&gt;40%,"High")</f>
        <v>High</v>
      </c>
      <c r="I62">
        <v>9</v>
      </c>
      <c r="J62">
        <v>4.3</v>
      </c>
      <c r="K62" t="str" cm="1">
        <f t="array" ref="K62">_xlfn.IFS(Table1[[#This Row],[rating]]&lt;=3,"Poor", Table1[[#This Row],[rating]]&lt;=4.2,"Average", Table1[[#This Row],[rating]]&gt;4.2,"Excellent")</f>
        <v>Excellent</v>
      </c>
    </row>
    <row r="63" spans="1:11" x14ac:dyDescent="0.5">
      <c r="A63" t="s">
        <v>81</v>
      </c>
      <c r="B63" s="2">
        <v>1650</v>
      </c>
      <c r="C63" s="2">
        <v>2150</v>
      </c>
      <c r="D63" s="2" t="str" cm="1">
        <f t="array" ref="D63">_xlfn.IFS(Table1[[#This Row],[current_price]]&lt;=500,"Inexpensive",Table1[[#This Row],[current_price]]&lt;=1500,"Moderate",Table1[[#This Row],[current_price]]&gt;1500,"Expensive")</f>
        <v>Expensive</v>
      </c>
      <c r="E63" s="2">
        <f>Table1[[#This Row],[old_price]]-Table1[[#This Row],[current_price]]</f>
        <v>500</v>
      </c>
      <c r="F63" s="3">
        <f>Table1[[#This Row],[discount_calc]]/Table1[[#This Row],[old_price]]</f>
        <v>0.23255813953488372</v>
      </c>
      <c r="G63" s="1">
        <v>0.23</v>
      </c>
      <c r="H63" s="1" t="str" cm="1">
        <f t="array" ref="H63">_xlfn.IFS(Table1[[#This Row],[%discount_calc]]&lt;20%,"Low",Table1[[#This Row],[%discount_calc]]&lt;=40%,"Medium",Table1[[#This Row],[%discount_calc]]&gt;40%,"High")</f>
        <v>Medium</v>
      </c>
      <c r="I63">
        <v>14</v>
      </c>
      <c r="J63">
        <v>4.4000000000000004</v>
      </c>
      <c r="K63" t="str" cm="1">
        <f t="array" ref="K63">_xlfn.IFS(Table1[[#This Row],[rating]]&lt;=3,"Poor", Table1[[#This Row],[rating]]&lt;=4.2,"Average", Table1[[#This Row],[rating]]&gt;4.2,"Excellent")</f>
        <v>Excellent</v>
      </c>
    </row>
    <row r="64" spans="1:11" x14ac:dyDescent="0.5">
      <c r="A64" t="s">
        <v>42</v>
      </c>
      <c r="B64">
        <v>799</v>
      </c>
      <c r="C64">
        <v>999</v>
      </c>
      <c r="D64" t="str" cm="1">
        <f t="array" ref="D64">_xlfn.IFS(Table1[[#This Row],[current_price]]&lt;=500,"Inexpensive",Table1[[#This Row],[current_price]]&lt;=1500,"Moderate",Table1[[#This Row],[current_price]]&gt;1500,"Expensive")</f>
        <v>Moderate</v>
      </c>
      <c r="E64">
        <f>Table1[[#This Row],[old_price]]-Table1[[#This Row],[current_price]]</f>
        <v>200</v>
      </c>
      <c r="F64" s="3">
        <f>Table1[[#This Row],[discount_calc]]/Table1[[#This Row],[old_price]]</f>
        <v>0.20020020020020021</v>
      </c>
      <c r="G64" s="1">
        <v>0.2</v>
      </c>
      <c r="H64" s="1" t="str" cm="1">
        <f t="array" ref="H64">_xlfn.IFS(Table1[[#This Row],[%discount_calc]]&lt;20%,"Low",Table1[[#This Row],[%discount_calc]]&lt;=40%,"Medium",Table1[[#This Row],[%discount_calc]]&gt;40%,"High")</f>
        <v>Medium</v>
      </c>
      <c r="I64">
        <v>12</v>
      </c>
      <c r="J64">
        <v>4.0999999999999996</v>
      </c>
      <c r="K64" t="str" cm="1">
        <f t="array" ref="K64">_xlfn.IFS(Table1[[#This Row],[rating]]&lt;=3,"Poor", Table1[[#This Row],[rating]]&lt;=4.2,"Average", Table1[[#This Row],[rating]]&gt;4.2,"Excellent")</f>
        <v>Average</v>
      </c>
    </row>
    <row r="65" spans="1:11" x14ac:dyDescent="0.5">
      <c r="A65" t="s">
        <v>253</v>
      </c>
      <c r="B65">
        <v>330</v>
      </c>
      <c r="C65">
        <v>647</v>
      </c>
      <c r="D65" t="str" cm="1">
        <f t="array" ref="D65">_xlfn.IFS(Table1[[#This Row],[current_price]]&lt;=500,"Inexpensive",Table1[[#This Row],[current_price]]&lt;=1500,"Moderate",Table1[[#This Row],[current_price]]&gt;1500,"Expensive")</f>
        <v>Inexpensive</v>
      </c>
      <c r="E65">
        <f>Table1[[#This Row],[old_price]]-Table1[[#This Row],[current_price]]</f>
        <v>317</v>
      </c>
      <c r="F65" s="3">
        <f>Table1[[#This Row],[discount_calc]]/Table1[[#This Row],[old_price]]</f>
        <v>0.48995363214837712</v>
      </c>
      <c r="G65" s="1">
        <v>0.49</v>
      </c>
      <c r="H65" s="1" t="str" cm="1">
        <f t="array" ref="H65">_xlfn.IFS(Table1[[#This Row],[%discount_calc]]&lt;20%,"Low",Table1[[#This Row],[%discount_calc]]&lt;=40%,"Medium",Table1[[#This Row],[%discount_calc]]&gt;40%,"High")</f>
        <v>High</v>
      </c>
      <c r="I65">
        <v>1</v>
      </c>
      <c r="J65">
        <v>4</v>
      </c>
      <c r="K65" t="str" cm="1">
        <f t="array" ref="K65">_xlfn.IFS(Table1[[#This Row],[rating]]&lt;=3,"Poor", Table1[[#This Row],[rating]]&lt;=4.2,"Average", Table1[[#This Row],[rating]]&gt;4.2,"Excellent")</f>
        <v>Average</v>
      </c>
    </row>
    <row r="66" spans="1:11" x14ac:dyDescent="0.5">
      <c r="A66" t="s">
        <v>198</v>
      </c>
      <c r="B66">
        <v>325</v>
      </c>
      <c r="C66">
        <v>680</v>
      </c>
      <c r="D66" t="str" cm="1">
        <f t="array" ref="D66">_xlfn.IFS(Table1[[#This Row],[current_price]]&lt;=500,"Inexpensive",Table1[[#This Row],[current_price]]&lt;=1500,"Moderate",Table1[[#This Row],[current_price]]&gt;1500,"Expensive")</f>
        <v>Inexpensive</v>
      </c>
      <c r="E66">
        <f>Table1[[#This Row],[old_price]]-Table1[[#This Row],[current_price]]</f>
        <v>355</v>
      </c>
      <c r="F66" s="3">
        <f>Table1[[#This Row],[discount_calc]]/Table1[[#This Row],[old_price]]</f>
        <v>0.5220588235294118</v>
      </c>
      <c r="G66" s="1">
        <v>0.52</v>
      </c>
      <c r="H66" s="1" t="str" cm="1">
        <f t="array" ref="H66">_xlfn.IFS(Table1[[#This Row],[%discount_calc]]&lt;20%,"Low",Table1[[#This Row],[%discount_calc]]&lt;=40%,"Medium",Table1[[#This Row],[%discount_calc]]&gt;40%,"High")</f>
        <v>High</v>
      </c>
      <c r="I66">
        <v>15</v>
      </c>
      <c r="J66">
        <v>2.7</v>
      </c>
      <c r="K66" t="str" cm="1">
        <f t="array" ref="K66">_xlfn.IFS(Table1[[#This Row],[rating]]&lt;=3,"Poor", Table1[[#This Row],[rating]]&lt;=4.2,"Average", Table1[[#This Row],[rating]]&gt;4.2,"Excellent")</f>
        <v>Poor</v>
      </c>
    </row>
    <row r="67" spans="1:11" x14ac:dyDescent="0.5">
      <c r="A67" t="s">
        <v>295</v>
      </c>
      <c r="B67" s="2">
        <v>3640</v>
      </c>
      <c r="C67" s="2">
        <v>4588</v>
      </c>
      <c r="D67" s="2" t="str" cm="1">
        <f t="array" ref="D67">_xlfn.IFS(Table1[[#This Row],[current_price]]&lt;=500,"Inexpensive",Table1[[#This Row],[current_price]]&lt;=1500,"Moderate",Table1[[#This Row],[current_price]]&gt;1500,"Expensive")</f>
        <v>Expensive</v>
      </c>
      <c r="E67" s="2">
        <f>Table1[[#This Row],[old_price]]-Table1[[#This Row],[current_price]]</f>
        <v>948</v>
      </c>
      <c r="F67" s="3">
        <f>Table1[[#This Row],[discount_calc]]/Table1[[#This Row],[old_price]]</f>
        <v>0.20662598081952921</v>
      </c>
      <c r="G67" s="1">
        <v>0.21</v>
      </c>
      <c r="H67" s="1" t="str" cm="1">
        <f t="array" ref="H67">_xlfn.IFS(Table1[[#This Row],[%discount_calc]]&lt;20%,"Low",Table1[[#This Row],[%discount_calc]]&lt;=40%,"Medium",Table1[[#This Row],[%discount_calc]]&gt;40%,"High")</f>
        <v>Medium</v>
      </c>
      <c r="I67">
        <v>1</v>
      </c>
      <c r="J67">
        <v>5</v>
      </c>
      <c r="K67" t="str" cm="1">
        <f t="array" ref="K67">_xlfn.IFS(Table1[[#This Row],[rating]]&lt;=3,"Poor", Table1[[#This Row],[rating]]&lt;=4.2,"Average", Table1[[#This Row],[rating]]&gt;4.2,"Excellent")</f>
        <v>Excellent</v>
      </c>
    </row>
    <row r="68" spans="1:11" x14ac:dyDescent="0.5">
      <c r="A68" t="s">
        <v>218</v>
      </c>
      <c r="B68" s="2">
        <v>2300</v>
      </c>
      <c r="C68" s="2">
        <v>3240</v>
      </c>
      <c r="D68" s="2" t="str" cm="1">
        <f t="array" ref="D68">_xlfn.IFS(Table1[[#This Row],[current_price]]&lt;=500,"Inexpensive",Table1[[#This Row],[current_price]]&lt;=1500,"Moderate",Table1[[#This Row],[current_price]]&gt;1500,"Expensive")</f>
        <v>Expensive</v>
      </c>
      <c r="E68" s="2">
        <f>Table1[[#This Row],[old_price]]-Table1[[#This Row],[current_price]]</f>
        <v>940</v>
      </c>
      <c r="F68" s="3">
        <f>Table1[[#This Row],[discount_calc]]/Table1[[#This Row],[old_price]]</f>
        <v>0.29012345679012347</v>
      </c>
      <c r="G68" s="1">
        <v>0.28999999999999998</v>
      </c>
      <c r="H68" s="1" t="str" cm="1">
        <f t="array" ref="H68">_xlfn.IFS(Table1[[#This Row],[%discount_calc]]&lt;20%,"Low",Table1[[#This Row],[%discount_calc]]&lt;=40%,"Medium",Table1[[#This Row],[%discount_calc]]&gt;40%,"High")</f>
        <v>Medium</v>
      </c>
      <c r="I68">
        <v>5</v>
      </c>
      <c r="J68">
        <v>3</v>
      </c>
      <c r="K68" t="str" cm="1">
        <f t="array" ref="K68">_xlfn.IFS(Table1[[#This Row],[rating]]&lt;=3,"Poor", Table1[[#This Row],[rating]]&lt;=4.2,"Average", Table1[[#This Row],[rating]]&gt;4.2,"Excellent")</f>
        <v>Poor</v>
      </c>
    </row>
    <row r="69" spans="1:11" x14ac:dyDescent="0.5">
      <c r="A69" t="s">
        <v>85</v>
      </c>
      <c r="B69" s="2">
        <v>2048</v>
      </c>
      <c r="C69" s="2">
        <v>4500</v>
      </c>
      <c r="D69" s="2" t="str" cm="1">
        <f t="array" ref="D69">_xlfn.IFS(Table1[[#This Row],[current_price]]&lt;=500,"Inexpensive",Table1[[#This Row],[current_price]]&lt;=1500,"Moderate",Table1[[#This Row],[current_price]]&gt;1500,"Expensive")</f>
        <v>Expensive</v>
      </c>
      <c r="E69" s="2">
        <f>Table1[[#This Row],[old_price]]-Table1[[#This Row],[current_price]]</f>
        <v>2452</v>
      </c>
      <c r="F69" s="3">
        <f>Table1[[#This Row],[discount_calc]]/Table1[[#This Row],[old_price]]</f>
        <v>0.54488888888888887</v>
      </c>
      <c r="G69" s="1">
        <v>0.54</v>
      </c>
      <c r="H69" s="1" t="str" cm="1">
        <f t="array" ref="H69">_xlfn.IFS(Table1[[#This Row],[%discount_calc]]&lt;20%,"Low",Table1[[#This Row],[%discount_calc]]&lt;=40%,"Medium",Table1[[#This Row],[%discount_calc]]&gt;40%,"High")</f>
        <v>High</v>
      </c>
      <c r="I69">
        <v>7</v>
      </c>
      <c r="J69">
        <v>4.3</v>
      </c>
      <c r="K69" t="str" cm="1">
        <f t="array" ref="K69">_xlfn.IFS(Table1[[#This Row],[rating]]&lt;=3,"Poor", Table1[[#This Row],[rating]]&lt;=4.2,"Average", Table1[[#This Row],[rating]]&gt;4.2,"Excellent")</f>
        <v>Excellent</v>
      </c>
    </row>
    <row r="70" spans="1:11" x14ac:dyDescent="0.5">
      <c r="A70" t="s">
        <v>63</v>
      </c>
      <c r="B70" s="2">
        <v>2025</v>
      </c>
      <c r="C70" s="2">
        <v>3971</v>
      </c>
      <c r="D70" s="2" t="str" cm="1">
        <f t="array" ref="D70">_xlfn.IFS(Table1[[#This Row],[current_price]]&lt;=500,"Inexpensive",Table1[[#This Row],[current_price]]&lt;=1500,"Moderate",Table1[[#This Row],[current_price]]&gt;1500,"Expensive")</f>
        <v>Expensive</v>
      </c>
      <c r="E70" s="2">
        <f>Table1[[#This Row],[old_price]]-Table1[[#This Row],[current_price]]</f>
        <v>1946</v>
      </c>
      <c r="F70" s="3">
        <f>Table1[[#This Row],[discount_calc]]/Table1[[#This Row],[old_price]]</f>
        <v>0.49005288340468395</v>
      </c>
      <c r="G70" s="1">
        <v>0.49</v>
      </c>
      <c r="H70" s="1" t="str" cm="1">
        <f t="array" ref="H70">_xlfn.IFS(Table1[[#This Row],[%discount_calc]]&lt;20%,"Low",Table1[[#This Row],[%discount_calc]]&lt;=40%,"Medium",Table1[[#This Row],[%discount_calc]]&gt;40%,"High")</f>
        <v>High</v>
      </c>
      <c r="I70">
        <v>3</v>
      </c>
      <c r="J70">
        <v>5</v>
      </c>
      <c r="K70" t="str" cm="1">
        <f t="array" ref="K70">_xlfn.IFS(Table1[[#This Row],[rating]]&lt;=3,"Poor", Table1[[#This Row],[rating]]&lt;=4.2,"Average", Table1[[#This Row],[rating]]&gt;4.2,"Excellent")</f>
        <v>Excellent</v>
      </c>
    </row>
    <row r="71" spans="1:11" x14ac:dyDescent="0.5">
      <c r="A71" t="s">
        <v>50</v>
      </c>
      <c r="B71">
        <v>501</v>
      </c>
      <c r="C71">
        <v>860</v>
      </c>
      <c r="D71" t="str" cm="1">
        <f t="array" ref="D71">_xlfn.IFS(Table1[[#This Row],[current_price]]&lt;=500,"Inexpensive",Table1[[#This Row],[current_price]]&lt;=1500,"Moderate",Table1[[#This Row],[current_price]]&gt;1500,"Expensive")</f>
        <v>Moderate</v>
      </c>
      <c r="E71">
        <f>Table1[[#This Row],[old_price]]-Table1[[#This Row],[current_price]]</f>
        <v>359</v>
      </c>
      <c r="F71" s="3">
        <f>Table1[[#This Row],[discount_calc]]/Table1[[#This Row],[old_price]]</f>
        <v>0.41744186046511628</v>
      </c>
      <c r="G71" s="1">
        <v>0.42</v>
      </c>
      <c r="H71" s="1" t="str" cm="1">
        <f t="array" ref="H71">_xlfn.IFS(Table1[[#This Row],[%discount_calc]]&lt;20%,"Low",Table1[[#This Row],[%discount_calc]]&lt;=40%,"Medium",Table1[[#This Row],[%discount_calc]]&gt;40%,"High")</f>
        <v>High</v>
      </c>
      <c r="I71">
        <v>6</v>
      </c>
      <c r="J71">
        <v>4.5</v>
      </c>
      <c r="K71" t="str" cm="1">
        <f t="array" ref="K71">_xlfn.IFS(Table1[[#This Row],[rating]]&lt;=3,"Poor", Table1[[#This Row],[rating]]&lt;=4.2,"Average", Table1[[#This Row],[rating]]&gt;4.2,"Excellent")</f>
        <v>Excellent</v>
      </c>
    </row>
    <row r="72" spans="1:11" x14ac:dyDescent="0.5">
      <c r="A72" t="s">
        <v>35</v>
      </c>
      <c r="B72" s="2">
        <v>1274</v>
      </c>
      <c r="C72" s="2">
        <v>2800</v>
      </c>
      <c r="D72" s="2" t="str" cm="1">
        <f t="array" ref="D72">_xlfn.IFS(Table1[[#This Row],[current_price]]&lt;=500,"Inexpensive",Table1[[#This Row],[current_price]]&lt;=1500,"Moderate",Table1[[#This Row],[current_price]]&gt;1500,"Expensive")</f>
        <v>Moderate</v>
      </c>
      <c r="E72" s="2">
        <f>Table1[[#This Row],[old_price]]-Table1[[#This Row],[current_price]]</f>
        <v>1526</v>
      </c>
      <c r="F72" s="3">
        <f>Table1[[#This Row],[discount_calc]]/Table1[[#This Row],[old_price]]</f>
        <v>0.54500000000000004</v>
      </c>
      <c r="G72" s="1">
        <v>0.55000000000000004</v>
      </c>
      <c r="H72" s="1" t="str" cm="1">
        <f t="array" ref="H72">_xlfn.IFS(Table1[[#This Row],[%discount_calc]]&lt;20%,"Low",Table1[[#This Row],[%discount_calc]]&lt;=40%,"Medium",Table1[[#This Row],[%discount_calc]]&gt;40%,"High")</f>
        <v>High</v>
      </c>
      <c r="I72">
        <v>5</v>
      </c>
      <c r="J72">
        <v>4.8</v>
      </c>
      <c r="K72" t="str" cm="1">
        <f t="array" ref="K72">_xlfn.IFS(Table1[[#This Row],[rating]]&lt;=3,"Poor", Table1[[#This Row],[rating]]&lt;=4.2,"Average", Table1[[#This Row],[rating]]&gt;4.2,"Excellent")</f>
        <v>Excellent</v>
      </c>
    </row>
    <row r="73" spans="1:11" x14ac:dyDescent="0.5">
      <c r="A73" t="s">
        <v>128</v>
      </c>
      <c r="B73" s="2">
        <v>2750</v>
      </c>
      <c r="C73" s="2">
        <v>4471</v>
      </c>
      <c r="D73" s="2" t="str" cm="1">
        <f t="array" ref="D73">_xlfn.IFS(Table1[[#This Row],[current_price]]&lt;=500,"Inexpensive",Table1[[#This Row],[current_price]]&lt;=1500,"Moderate",Table1[[#This Row],[current_price]]&gt;1500,"Expensive")</f>
        <v>Expensive</v>
      </c>
      <c r="E73" s="2">
        <f>Table1[[#This Row],[old_price]]-Table1[[#This Row],[current_price]]</f>
        <v>1721</v>
      </c>
      <c r="F73" s="3">
        <f>Table1[[#This Row],[discount_calc]]/Table1[[#This Row],[old_price]]</f>
        <v>0.38492507269067322</v>
      </c>
      <c r="G73" s="1">
        <v>0.38</v>
      </c>
      <c r="H73" s="1" t="str" cm="1">
        <f t="array" ref="H73">_xlfn.IFS(Table1[[#This Row],[%discount_calc]]&lt;20%,"Low",Table1[[#This Row],[%discount_calc]]&lt;=40%,"Medium",Table1[[#This Row],[%discount_calc]]&gt;40%,"High")</f>
        <v>Medium</v>
      </c>
      <c r="I73">
        <v>7</v>
      </c>
      <c r="J73">
        <v>4.2</v>
      </c>
      <c r="K73" t="str" cm="1">
        <f t="array" ref="K73">_xlfn.IFS(Table1[[#This Row],[rating]]&lt;=3,"Poor", Table1[[#This Row],[rating]]&lt;=4.2,"Average", Table1[[#This Row],[rating]]&gt;4.2,"Excellent")</f>
        <v>Average</v>
      </c>
    </row>
    <row r="74" spans="1:11" x14ac:dyDescent="0.5">
      <c r="A74" t="s">
        <v>108</v>
      </c>
      <c r="B74" s="2">
        <v>1820</v>
      </c>
      <c r="C74" s="2">
        <v>3490</v>
      </c>
      <c r="D74" s="2" t="str" cm="1">
        <f t="array" ref="D74">_xlfn.IFS(Table1[[#This Row],[current_price]]&lt;=500,"Inexpensive",Table1[[#This Row],[current_price]]&lt;=1500,"Moderate",Table1[[#This Row],[current_price]]&gt;1500,"Expensive")</f>
        <v>Expensive</v>
      </c>
      <c r="E74" s="2">
        <f>Table1[[#This Row],[old_price]]-Table1[[#This Row],[current_price]]</f>
        <v>1670</v>
      </c>
      <c r="F74" s="3">
        <f>Table1[[#This Row],[discount_calc]]/Table1[[#This Row],[old_price]]</f>
        <v>0.47851002865329512</v>
      </c>
      <c r="G74" s="1">
        <v>0.48</v>
      </c>
      <c r="H74" s="1" t="str" cm="1">
        <f t="array" ref="H74">_xlfn.IFS(Table1[[#This Row],[%discount_calc]]&lt;20%,"Low",Table1[[#This Row],[%discount_calc]]&lt;=40%,"Medium",Table1[[#This Row],[%discount_calc]]&gt;40%,"High")</f>
        <v>High</v>
      </c>
      <c r="I74">
        <v>9</v>
      </c>
      <c r="J74">
        <v>4.3</v>
      </c>
      <c r="K74" t="str" cm="1">
        <f t="array" ref="K74">_xlfn.IFS(Table1[[#This Row],[rating]]&lt;=3,"Poor", Table1[[#This Row],[rating]]&lt;=4.2,"Average", Table1[[#This Row],[rating]]&gt;4.2,"Excellent")</f>
        <v>Excellent</v>
      </c>
    </row>
    <row r="75" spans="1:11" x14ac:dyDescent="0.5">
      <c r="A75" t="s">
        <v>78</v>
      </c>
      <c r="B75">
        <v>880</v>
      </c>
      <c r="C75" s="2">
        <v>1350</v>
      </c>
      <c r="D75" s="2" t="str" cm="1">
        <f t="array" ref="D75">_xlfn.IFS(Table1[[#This Row],[current_price]]&lt;=500,"Inexpensive",Table1[[#This Row],[current_price]]&lt;=1500,"Moderate",Table1[[#This Row],[current_price]]&gt;1500,"Expensive")</f>
        <v>Moderate</v>
      </c>
      <c r="E75" s="2">
        <f>Table1[[#This Row],[old_price]]-Table1[[#This Row],[current_price]]</f>
        <v>470</v>
      </c>
      <c r="F75" s="3">
        <f>Table1[[#This Row],[discount_calc]]/Table1[[#This Row],[old_price]]</f>
        <v>0.34814814814814815</v>
      </c>
      <c r="G75" s="1">
        <v>0.35</v>
      </c>
      <c r="H75" s="1" t="str" cm="1">
        <f t="array" ref="H75">_xlfn.IFS(Table1[[#This Row],[%discount_calc]]&lt;20%,"Low",Table1[[#This Row],[%discount_calc]]&lt;=40%,"Medium",Table1[[#This Row],[%discount_calc]]&gt;40%,"High")</f>
        <v>Medium</v>
      </c>
      <c r="I75">
        <v>6</v>
      </c>
      <c r="J75">
        <v>4</v>
      </c>
      <c r="K75" t="str" cm="1">
        <f t="array" ref="K75">_xlfn.IFS(Table1[[#This Row],[rating]]&lt;=3,"Poor", Table1[[#This Row],[rating]]&lt;=4.2,"Average", Table1[[#This Row],[rating]]&gt;4.2,"Excellent")</f>
        <v>Average</v>
      </c>
    </row>
    <row r="76" spans="1:11" x14ac:dyDescent="0.5">
      <c r="A76" t="s">
        <v>307</v>
      </c>
      <c r="B76" s="2">
        <v>1150</v>
      </c>
      <c r="C76" s="2">
        <v>1737</v>
      </c>
      <c r="D76" s="2" t="str" cm="1">
        <f t="array" ref="D76">_xlfn.IFS(Table1[[#This Row],[current_price]]&lt;=500,"Inexpensive",Table1[[#This Row],[current_price]]&lt;=1500,"Moderate",Table1[[#This Row],[current_price]]&gt;1500,"Expensive")</f>
        <v>Moderate</v>
      </c>
      <c r="E76" s="2">
        <f>Table1[[#This Row],[old_price]]-Table1[[#This Row],[current_price]]</f>
        <v>587</v>
      </c>
      <c r="F76" s="3">
        <f>Table1[[#This Row],[discount_calc]]/Table1[[#This Row],[old_price]]</f>
        <v>0.3379389752446747</v>
      </c>
      <c r="G76" s="1">
        <v>0.34</v>
      </c>
      <c r="H76" s="1" t="str" cm="1">
        <f t="array" ref="H76">_xlfn.IFS(Table1[[#This Row],[%discount_calc]]&lt;20%,"Low",Table1[[#This Row],[%discount_calc]]&lt;=40%,"Medium",Table1[[#This Row],[%discount_calc]]&gt;40%,"High")</f>
        <v>Medium</v>
      </c>
      <c r="I76">
        <v>7</v>
      </c>
      <c r="J76">
        <v>4.2</v>
      </c>
      <c r="K76" t="str" cm="1">
        <f t="array" ref="K76">_xlfn.IFS(Table1[[#This Row],[rating]]&lt;=3,"Poor", Table1[[#This Row],[rating]]&lt;=4.2,"Average", Table1[[#This Row],[rating]]&gt;4.2,"Excellent")</f>
        <v>Average</v>
      </c>
    </row>
    <row r="77" spans="1:11" x14ac:dyDescent="0.5">
      <c r="A77" t="s">
        <v>66</v>
      </c>
      <c r="B77" s="2">
        <v>2999</v>
      </c>
      <c r="C77" s="2">
        <v>3699</v>
      </c>
      <c r="D77" s="2" t="str" cm="1">
        <f t="array" ref="D77">_xlfn.IFS(Table1[[#This Row],[current_price]]&lt;=500,"Inexpensive",Table1[[#This Row],[current_price]]&lt;=1500,"Moderate",Table1[[#This Row],[current_price]]&gt;1500,"Expensive")</f>
        <v>Expensive</v>
      </c>
      <c r="E77" s="2">
        <f>Table1[[#This Row],[old_price]]-Table1[[#This Row],[current_price]]</f>
        <v>700</v>
      </c>
      <c r="F77" s="3">
        <f>Table1[[#This Row],[discount_calc]]/Table1[[#This Row],[old_price]]</f>
        <v>0.18924033522573669</v>
      </c>
      <c r="G77" s="1">
        <v>0.19</v>
      </c>
      <c r="H77" s="1" t="str" cm="1">
        <f t="array" ref="H77">_xlfn.IFS(Table1[[#This Row],[%discount_calc]]&lt;20%,"Low",Table1[[#This Row],[%discount_calc]]&lt;=40%,"Medium",Table1[[#This Row],[%discount_calc]]&gt;40%,"High")</f>
        <v>Low</v>
      </c>
      <c r="I77">
        <v>5</v>
      </c>
      <c r="J77">
        <v>4.5999999999999996</v>
      </c>
      <c r="K77" t="str" cm="1">
        <f t="array" ref="K77">_xlfn.IFS(Table1[[#This Row],[rating]]&lt;=3,"Poor", Table1[[#This Row],[rating]]&lt;=4.2,"Average", Table1[[#This Row],[rating]]&gt;4.2,"Excellent")</f>
        <v>Excellent</v>
      </c>
    </row>
    <row r="78" spans="1:11" x14ac:dyDescent="0.5">
      <c r="A78" t="s">
        <v>243</v>
      </c>
      <c r="B78" s="2">
        <v>1189</v>
      </c>
      <c r="C78" s="2">
        <v>2199</v>
      </c>
      <c r="D78" s="2" t="str" cm="1">
        <f t="array" ref="D78">_xlfn.IFS(Table1[[#This Row],[current_price]]&lt;=500,"Inexpensive",Table1[[#This Row],[current_price]]&lt;=1500,"Moderate",Table1[[#This Row],[current_price]]&gt;1500,"Expensive")</f>
        <v>Moderate</v>
      </c>
      <c r="E78" s="2">
        <f>Table1[[#This Row],[old_price]]-Table1[[#This Row],[current_price]]</f>
        <v>1010</v>
      </c>
      <c r="F78" s="3">
        <f>Table1[[#This Row],[discount_calc]]/Table1[[#This Row],[old_price]]</f>
        <v>0.45929968167348795</v>
      </c>
      <c r="G78" s="1">
        <v>0.46</v>
      </c>
      <c r="H78" s="1" t="str" cm="1">
        <f t="array" ref="H78">_xlfn.IFS(Table1[[#This Row],[%discount_calc]]&lt;20%,"Low",Table1[[#This Row],[%discount_calc]]&lt;=40%,"Medium",Table1[[#This Row],[%discount_calc]]&gt;40%,"High")</f>
        <v>High</v>
      </c>
      <c r="I78">
        <v>1</v>
      </c>
      <c r="J78">
        <v>3</v>
      </c>
      <c r="K78" t="str" cm="1">
        <f t="array" ref="K78">_xlfn.IFS(Table1[[#This Row],[rating]]&lt;=3,"Poor", Table1[[#This Row],[rating]]&lt;=4.2,"Average", Table1[[#This Row],[rating]]&gt;4.2,"Excellent")</f>
        <v>Poor</v>
      </c>
    </row>
    <row r="79" spans="1:11" x14ac:dyDescent="0.5">
      <c r="A79" t="s">
        <v>10</v>
      </c>
      <c r="B79">
        <v>527</v>
      </c>
      <c r="C79">
        <v>999</v>
      </c>
      <c r="D79" t="str" cm="1">
        <f t="array" ref="D79">_xlfn.IFS(Table1[[#This Row],[current_price]]&lt;=500,"Inexpensive",Table1[[#This Row],[current_price]]&lt;=1500,"Moderate",Table1[[#This Row],[current_price]]&gt;1500,"Expensive")</f>
        <v>Moderate</v>
      </c>
      <c r="E79">
        <f>Table1[[#This Row],[old_price]]-Table1[[#This Row],[current_price]]</f>
        <v>472</v>
      </c>
      <c r="F79" s="3">
        <f>Table1[[#This Row],[discount_calc]]/Table1[[#This Row],[old_price]]</f>
        <v>0.47247247247247248</v>
      </c>
      <c r="G79" s="1">
        <v>0.47</v>
      </c>
      <c r="H79" s="1" t="str" cm="1">
        <f t="array" ref="H79">_xlfn.IFS(Table1[[#This Row],[%discount_calc]]&lt;20%,"Low",Table1[[#This Row],[%discount_calc]]&lt;=40%,"Medium",Table1[[#This Row],[%discount_calc]]&gt;40%,"High")</f>
        <v>High</v>
      </c>
      <c r="I79">
        <v>14</v>
      </c>
      <c r="J79">
        <v>4.0999999999999996</v>
      </c>
      <c r="K79" t="str" cm="1">
        <f t="array" ref="K79">_xlfn.IFS(Table1[[#This Row],[rating]]&lt;=3,"Poor", Table1[[#This Row],[rating]]&lt;=4.2,"Average", Table1[[#This Row],[rating]]&gt;4.2,"Excellent")</f>
        <v>Average</v>
      </c>
    </row>
    <row r="80" spans="1:11" x14ac:dyDescent="0.5">
      <c r="A80" t="s">
        <v>287</v>
      </c>
      <c r="B80" s="2">
        <v>3546</v>
      </c>
      <c r="C80" s="2">
        <v>3699</v>
      </c>
      <c r="D80" s="2" t="str" cm="1">
        <f t="array" ref="D80">_xlfn.IFS(Table1[[#This Row],[current_price]]&lt;=500,"Inexpensive",Table1[[#This Row],[current_price]]&lt;=1500,"Moderate",Table1[[#This Row],[current_price]]&gt;1500,"Expensive")</f>
        <v>Expensive</v>
      </c>
      <c r="E80" s="2">
        <f>Table1[[#This Row],[old_price]]-Table1[[#This Row],[current_price]]</f>
        <v>153</v>
      </c>
      <c r="F80" s="3">
        <f>Table1[[#This Row],[discount_calc]]/Table1[[#This Row],[old_price]]</f>
        <v>4.1362530413625302E-2</v>
      </c>
      <c r="G80" s="1">
        <v>0.04</v>
      </c>
      <c r="H80" s="1" t="str" cm="1">
        <f t="array" ref="H80">_xlfn.IFS(Table1[[#This Row],[%discount_calc]]&lt;20%,"Low",Table1[[#This Row],[%discount_calc]]&lt;=40%,"Medium",Table1[[#This Row],[%discount_calc]]&gt;40%,"High")</f>
        <v>Low</v>
      </c>
      <c r="I80">
        <v>7</v>
      </c>
      <c r="J80">
        <v>4.2</v>
      </c>
      <c r="K80" t="str" cm="1">
        <f t="array" ref="K80">_xlfn.IFS(Table1[[#This Row],[rating]]&lt;=3,"Poor", Table1[[#This Row],[rating]]&lt;=4.2,"Average", Table1[[#This Row],[rating]]&gt;4.2,"Excellent")</f>
        <v>Average</v>
      </c>
    </row>
    <row r="81" spans="1:11" x14ac:dyDescent="0.5">
      <c r="A81" t="s">
        <v>134</v>
      </c>
      <c r="B81">
        <v>238</v>
      </c>
      <c r="C81">
        <v>476</v>
      </c>
      <c r="D81" t="str" cm="1">
        <f t="array" ref="D81">_xlfn.IFS(Table1[[#This Row],[current_price]]&lt;=500,"Inexpensive",Table1[[#This Row],[current_price]]&lt;=1500,"Moderate",Table1[[#This Row],[current_price]]&gt;1500,"Expensive")</f>
        <v>Inexpensive</v>
      </c>
      <c r="E81">
        <f>Table1[[#This Row],[old_price]]-Table1[[#This Row],[current_price]]</f>
        <v>238</v>
      </c>
      <c r="F81" s="3">
        <f>Table1[[#This Row],[discount_calc]]/Table1[[#This Row],[old_price]]</f>
        <v>0.5</v>
      </c>
      <c r="G81" s="1">
        <v>0.5</v>
      </c>
      <c r="H81" s="1" t="str" cm="1">
        <f t="array" ref="H81">_xlfn.IFS(Table1[[#This Row],[%discount_calc]]&lt;20%,"Low",Table1[[#This Row],[%discount_calc]]&lt;=40%,"Medium",Table1[[#This Row],[%discount_calc]]&gt;40%,"High")</f>
        <v>High</v>
      </c>
      <c r="I81">
        <v>7</v>
      </c>
      <c r="J81">
        <v>4.2</v>
      </c>
      <c r="K81" t="str" cm="1">
        <f t="array" ref="K81">_xlfn.IFS(Table1[[#This Row],[rating]]&lt;=3,"Poor", Table1[[#This Row],[rating]]&lt;=4.2,"Average", Table1[[#This Row],[rating]]&gt;4.2,"Excellent")</f>
        <v>Average</v>
      </c>
    </row>
    <row r="82" spans="1:11" x14ac:dyDescent="0.5">
      <c r="A82" t="s">
        <v>53</v>
      </c>
      <c r="B82" s="2">
        <v>1680</v>
      </c>
      <c r="C82" s="2">
        <v>2499</v>
      </c>
      <c r="D82" s="2" t="str" cm="1">
        <f t="array" ref="D82">_xlfn.IFS(Table1[[#This Row],[current_price]]&lt;=500,"Inexpensive",Table1[[#This Row],[current_price]]&lt;=1500,"Moderate",Table1[[#This Row],[current_price]]&gt;1500,"Expensive")</f>
        <v>Expensive</v>
      </c>
      <c r="E82" s="2">
        <f>Table1[[#This Row],[old_price]]-Table1[[#This Row],[current_price]]</f>
        <v>819</v>
      </c>
      <c r="F82" s="3">
        <f>Table1[[#This Row],[discount_calc]]/Table1[[#This Row],[old_price]]</f>
        <v>0.32773109243697479</v>
      </c>
      <c r="G82" s="1">
        <v>0.33</v>
      </c>
      <c r="H82" s="1" t="str" cm="1">
        <f t="array" ref="H82">_xlfn.IFS(Table1[[#This Row],[%discount_calc]]&lt;20%,"Low",Table1[[#This Row],[%discount_calc]]&lt;=40%,"Medium",Table1[[#This Row],[%discount_calc]]&gt;40%,"High")</f>
        <v>Medium</v>
      </c>
      <c r="I82">
        <v>9</v>
      </c>
      <c r="J82">
        <v>4.2</v>
      </c>
      <c r="K82" t="str" cm="1">
        <f t="array" ref="K82">_xlfn.IFS(Table1[[#This Row],[rating]]&lt;=3,"Poor", Table1[[#This Row],[rating]]&lt;=4.2,"Average", Table1[[#This Row],[rating]]&gt;4.2,"Excellent")</f>
        <v>Average</v>
      </c>
    </row>
    <row r="83" spans="1:11" x14ac:dyDescent="0.5">
      <c r="A83" t="s">
        <v>266</v>
      </c>
      <c r="B83">
        <v>630</v>
      </c>
      <c r="C83" s="2">
        <v>1100</v>
      </c>
      <c r="D83" s="2" t="str" cm="1">
        <f t="array" ref="D83">_xlfn.IFS(Table1[[#This Row],[current_price]]&lt;=500,"Inexpensive",Table1[[#This Row],[current_price]]&lt;=1500,"Moderate",Table1[[#This Row],[current_price]]&gt;1500,"Expensive")</f>
        <v>Moderate</v>
      </c>
      <c r="E83" s="2">
        <f>Table1[[#This Row],[old_price]]-Table1[[#This Row],[current_price]]</f>
        <v>470</v>
      </c>
      <c r="F83" s="3">
        <f>Table1[[#This Row],[discount_calc]]/Table1[[#This Row],[old_price]]</f>
        <v>0.42727272727272725</v>
      </c>
      <c r="G83" s="1">
        <v>0.43</v>
      </c>
      <c r="H83" s="1" t="str" cm="1">
        <f t="array" ref="H83">_xlfn.IFS(Table1[[#This Row],[%discount_calc]]&lt;20%,"Low",Table1[[#This Row],[%discount_calc]]&lt;=40%,"Medium",Table1[[#This Row],[%discount_calc]]&gt;40%,"High")</f>
        <v>High</v>
      </c>
      <c r="I83">
        <v>7</v>
      </c>
      <c r="J83">
        <v>4.2</v>
      </c>
      <c r="K83" t="str" cm="1">
        <f t="array" ref="K83">_xlfn.IFS(Table1[[#This Row],[rating]]&lt;=3,"Poor", Table1[[#This Row],[rating]]&lt;=4.2,"Average", Table1[[#This Row],[rating]]&gt;4.2,"Excellent")</f>
        <v>Average</v>
      </c>
    </row>
    <row r="84" spans="1:11" x14ac:dyDescent="0.5">
      <c r="A84" t="s">
        <v>328</v>
      </c>
      <c r="B84" s="2">
        <v>2200</v>
      </c>
      <c r="C84" s="2">
        <v>4080</v>
      </c>
      <c r="D84" s="2" t="str" cm="1">
        <f t="array" ref="D84">_xlfn.IFS(Table1[[#This Row],[current_price]]&lt;=500,"Inexpensive",Table1[[#This Row],[current_price]]&lt;=1500,"Moderate",Table1[[#This Row],[current_price]]&gt;1500,"Expensive")</f>
        <v>Expensive</v>
      </c>
      <c r="E84" s="2">
        <f>Table1[[#This Row],[old_price]]-Table1[[#This Row],[current_price]]</f>
        <v>1880</v>
      </c>
      <c r="F84" s="3">
        <f>Table1[[#This Row],[discount_calc]]/Table1[[#This Row],[old_price]]</f>
        <v>0.46078431372549017</v>
      </c>
      <c r="G84" s="1">
        <v>0.46</v>
      </c>
      <c r="H84" s="1" t="str" cm="1">
        <f t="array" ref="H84">_xlfn.IFS(Table1[[#This Row],[%discount_calc]]&lt;20%,"Low",Table1[[#This Row],[%discount_calc]]&lt;=40%,"Medium",Table1[[#This Row],[%discount_calc]]&gt;40%,"High")</f>
        <v>High</v>
      </c>
      <c r="I84">
        <v>7</v>
      </c>
      <c r="J84">
        <v>4.2</v>
      </c>
      <c r="K84" t="str" cm="1">
        <f t="array" ref="K84">_xlfn.IFS(Table1[[#This Row],[rating]]&lt;=3,"Poor", Table1[[#This Row],[rating]]&lt;=4.2,"Average", Table1[[#This Row],[rating]]&gt;4.2,"Excellent")</f>
        <v>Average</v>
      </c>
    </row>
    <row r="85" spans="1:11" x14ac:dyDescent="0.5">
      <c r="A85" t="s">
        <v>165</v>
      </c>
      <c r="B85" s="2">
        <v>1459</v>
      </c>
      <c r="C85" s="2">
        <v>1499</v>
      </c>
      <c r="D85" s="2" t="str" cm="1">
        <f t="array" ref="D85">_xlfn.IFS(Table1[[#This Row],[current_price]]&lt;=500,"Inexpensive",Table1[[#This Row],[current_price]]&lt;=1500,"Moderate",Table1[[#This Row],[current_price]]&gt;1500,"Expensive")</f>
        <v>Moderate</v>
      </c>
      <c r="E85" s="2">
        <f>Table1[[#This Row],[old_price]]-Table1[[#This Row],[current_price]]</f>
        <v>40</v>
      </c>
      <c r="F85" s="3">
        <f>Table1[[#This Row],[discount_calc]]/Table1[[#This Row],[old_price]]</f>
        <v>2.6684456304202801E-2</v>
      </c>
      <c r="G85" s="1">
        <v>0.03</v>
      </c>
      <c r="H85" s="1" t="str" cm="1">
        <f t="array" ref="H85">_xlfn.IFS(Table1[[#This Row],[%discount_calc]]&lt;20%,"Low",Table1[[#This Row],[%discount_calc]]&lt;=40%,"Medium",Table1[[#This Row],[%discount_calc]]&gt;40%,"High")</f>
        <v>Low</v>
      </c>
      <c r="I85">
        <v>7</v>
      </c>
      <c r="J85">
        <v>4.2</v>
      </c>
      <c r="K85" t="str" cm="1">
        <f t="array" ref="K85">_xlfn.IFS(Table1[[#This Row],[rating]]&lt;=3,"Poor", Table1[[#This Row],[rating]]&lt;=4.2,"Average", Table1[[#This Row],[rating]]&gt;4.2,"Excellent")</f>
        <v>Average</v>
      </c>
    </row>
    <row r="86" spans="1:11" x14ac:dyDescent="0.5">
      <c r="A86" t="s">
        <v>186</v>
      </c>
      <c r="B86">
        <v>458</v>
      </c>
      <c r="C86">
        <v>986</v>
      </c>
      <c r="D86" t="str" cm="1">
        <f t="array" ref="D86">_xlfn.IFS(Table1[[#This Row],[current_price]]&lt;=500,"Inexpensive",Table1[[#This Row],[current_price]]&lt;=1500,"Moderate",Table1[[#This Row],[current_price]]&gt;1500,"Expensive")</f>
        <v>Inexpensive</v>
      </c>
      <c r="E86">
        <f>Table1[[#This Row],[old_price]]-Table1[[#This Row],[current_price]]</f>
        <v>528</v>
      </c>
      <c r="F86" s="3">
        <f>Table1[[#This Row],[discount_calc]]/Table1[[#This Row],[old_price]]</f>
        <v>0.53549695740365111</v>
      </c>
      <c r="G86" s="1">
        <v>0.54</v>
      </c>
      <c r="H86" s="1" t="str" cm="1">
        <f t="array" ref="H86">_xlfn.IFS(Table1[[#This Row],[%discount_calc]]&lt;20%,"Low",Table1[[#This Row],[%discount_calc]]&lt;=40%,"Medium",Table1[[#This Row],[%discount_calc]]&gt;40%,"High")</f>
        <v>High</v>
      </c>
      <c r="I86">
        <v>10</v>
      </c>
      <c r="J86">
        <v>3</v>
      </c>
      <c r="K86" t="str" cm="1">
        <f t="array" ref="K86">_xlfn.IFS(Table1[[#This Row],[rating]]&lt;=3,"Poor", Table1[[#This Row],[rating]]&lt;=4.2,"Average", Table1[[#This Row],[rating]]&gt;4.2,"Excellent")</f>
        <v>Poor</v>
      </c>
    </row>
    <row r="87" spans="1:11" x14ac:dyDescent="0.5">
      <c r="A87" t="s">
        <v>256</v>
      </c>
      <c r="B87" s="2">
        <v>1466</v>
      </c>
      <c r="C87" s="2">
        <v>1699</v>
      </c>
      <c r="D87" s="2" t="str" cm="1">
        <f t="array" ref="D87">_xlfn.IFS(Table1[[#This Row],[current_price]]&lt;=500,"Inexpensive",Table1[[#This Row],[current_price]]&lt;=1500,"Moderate",Table1[[#This Row],[current_price]]&gt;1500,"Expensive")</f>
        <v>Moderate</v>
      </c>
      <c r="E87" s="2">
        <f>Table1[[#This Row],[old_price]]-Table1[[#This Row],[current_price]]</f>
        <v>233</v>
      </c>
      <c r="F87" s="3">
        <f>Table1[[#This Row],[discount_calc]]/Table1[[#This Row],[old_price]]</f>
        <v>0.13713949381989404</v>
      </c>
      <c r="G87" s="1">
        <v>0.14000000000000001</v>
      </c>
      <c r="H87" s="1" t="str" cm="1">
        <f t="array" ref="H87">_xlfn.IFS(Table1[[#This Row],[%discount_calc]]&lt;20%,"Low",Table1[[#This Row],[%discount_calc]]&lt;=40%,"Medium",Table1[[#This Row],[%discount_calc]]&gt;40%,"High")</f>
        <v>Low</v>
      </c>
      <c r="I87">
        <v>7</v>
      </c>
      <c r="J87">
        <v>4.2</v>
      </c>
      <c r="K87" t="str" cm="1">
        <f t="array" ref="K87">_xlfn.IFS(Table1[[#This Row],[rating]]&lt;=3,"Poor", Table1[[#This Row],[rating]]&lt;=4.2,"Average", Table1[[#This Row],[rating]]&gt;4.2,"Excellent")</f>
        <v>Average</v>
      </c>
    </row>
    <row r="88" spans="1:11" x14ac:dyDescent="0.5">
      <c r="A88" t="s">
        <v>261</v>
      </c>
      <c r="B88">
        <v>799</v>
      </c>
      <c r="C88">
        <v>900</v>
      </c>
      <c r="D88" t="str" cm="1">
        <f t="array" ref="D88">_xlfn.IFS(Table1[[#This Row],[current_price]]&lt;=500,"Inexpensive",Table1[[#This Row],[current_price]]&lt;=1500,"Moderate",Table1[[#This Row],[current_price]]&gt;1500,"Expensive")</f>
        <v>Moderate</v>
      </c>
      <c r="E88">
        <f>Table1[[#This Row],[old_price]]-Table1[[#This Row],[current_price]]</f>
        <v>101</v>
      </c>
      <c r="F88" s="3">
        <f>Table1[[#This Row],[discount_calc]]/Table1[[#This Row],[old_price]]</f>
        <v>0.11222222222222222</v>
      </c>
      <c r="G88" s="1">
        <v>0.11</v>
      </c>
      <c r="H88" s="1" t="str" cm="1">
        <f t="array" ref="H88">_xlfn.IFS(Table1[[#This Row],[%discount_calc]]&lt;20%,"Low",Table1[[#This Row],[%discount_calc]]&lt;=40%,"Medium",Table1[[#This Row],[%discount_calc]]&gt;40%,"High")</f>
        <v>Low</v>
      </c>
      <c r="I88">
        <v>7</v>
      </c>
      <c r="J88">
        <v>4.2</v>
      </c>
      <c r="K88" t="str" cm="1">
        <f t="array" ref="K88">_xlfn.IFS(Table1[[#This Row],[rating]]&lt;=3,"Poor", Table1[[#This Row],[rating]]&lt;=4.2,"Average", Table1[[#This Row],[rating]]&gt;4.2,"Excellent")</f>
        <v>Average</v>
      </c>
    </row>
    <row r="89" spans="1:11" x14ac:dyDescent="0.5">
      <c r="A89" t="s">
        <v>60</v>
      </c>
      <c r="B89">
        <v>195</v>
      </c>
      <c r="C89">
        <v>360</v>
      </c>
      <c r="D89" t="str" cm="1">
        <f t="array" ref="D89">_xlfn.IFS(Table1[[#This Row],[current_price]]&lt;=500,"Inexpensive",Table1[[#This Row],[current_price]]&lt;=1500,"Moderate",Table1[[#This Row],[current_price]]&gt;1500,"Expensive")</f>
        <v>Inexpensive</v>
      </c>
      <c r="E89">
        <f>Table1[[#This Row],[old_price]]-Table1[[#This Row],[current_price]]</f>
        <v>165</v>
      </c>
      <c r="F89" s="3">
        <f>Table1[[#This Row],[discount_calc]]/Table1[[#This Row],[old_price]]</f>
        <v>0.45833333333333331</v>
      </c>
      <c r="G89" s="1">
        <v>0.46</v>
      </c>
      <c r="H89" s="1" t="str" cm="1">
        <f t="array" ref="H89">_xlfn.IFS(Table1[[#This Row],[%discount_calc]]&lt;20%,"Low",Table1[[#This Row],[%discount_calc]]&lt;=40%,"Medium",Table1[[#This Row],[%discount_calc]]&gt;40%,"High")</f>
        <v>High</v>
      </c>
      <c r="I89">
        <v>2</v>
      </c>
      <c r="J89">
        <v>5</v>
      </c>
      <c r="K89" t="str" cm="1">
        <f t="array" ref="K89">_xlfn.IFS(Table1[[#This Row],[rating]]&lt;=3,"Poor", Table1[[#This Row],[rating]]&lt;=4.2,"Average", Table1[[#This Row],[rating]]&gt;4.2,"Excellent")</f>
        <v>Excellent</v>
      </c>
    </row>
    <row r="90" spans="1:11" x14ac:dyDescent="0.5">
      <c r="A90" t="s">
        <v>160</v>
      </c>
      <c r="B90" s="2">
        <v>1660</v>
      </c>
      <c r="C90" s="2">
        <v>1699</v>
      </c>
      <c r="D90" s="2" t="str" cm="1">
        <f t="array" ref="D90">_xlfn.IFS(Table1[[#This Row],[current_price]]&lt;=500,"Inexpensive",Table1[[#This Row],[current_price]]&lt;=1500,"Moderate",Table1[[#This Row],[current_price]]&gt;1500,"Expensive")</f>
        <v>Expensive</v>
      </c>
      <c r="E90" s="2">
        <f>Table1[[#This Row],[old_price]]-Table1[[#This Row],[current_price]]</f>
        <v>39</v>
      </c>
      <c r="F90" s="3">
        <f>Table1[[#This Row],[discount_calc]]/Table1[[#This Row],[old_price]]</f>
        <v>2.2954679223072396E-2</v>
      </c>
      <c r="G90" s="1">
        <v>0.02</v>
      </c>
      <c r="H90" s="1" t="str" cm="1">
        <f t="array" ref="H90">_xlfn.IFS(Table1[[#This Row],[%discount_calc]]&lt;20%,"Low",Table1[[#This Row],[%discount_calc]]&lt;=40%,"Medium",Table1[[#This Row],[%discount_calc]]&gt;40%,"High")</f>
        <v>Low</v>
      </c>
      <c r="I90">
        <v>7</v>
      </c>
      <c r="J90">
        <v>4.2</v>
      </c>
      <c r="K90" t="str" cm="1">
        <f t="array" ref="K90">_xlfn.IFS(Table1[[#This Row],[rating]]&lt;=3,"Poor", Table1[[#This Row],[rating]]&lt;=4.2,"Average", Table1[[#This Row],[rating]]&gt;4.2,"Excellent")</f>
        <v>Average</v>
      </c>
    </row>
    <row r="91" spans="1:11" x14ac:dyDescent="0.5">
      <c r="A91" t="s">
        <v>163</v>
      </c>
      <c r="B91">
        <v>299</v>
      </c>
      <c r="C91">
        <v>384</v>
      </c>
      <c r="D91" t="str" cm="1">
        <f t="array" ref="D91">_xlfn.IFS(Table1[[#This Row],[current_price]]&lt;=500,"Inexpensive",Table1[[#This Row],[current_price]]&lt;=1500,"Moderate",Table1[[#This Row],[current_price]]&gt;1500,"Expensive")</f>
        <v>Inexpensive</v>
      </c>
      <c r="E91">
        <f>Table1[[#This Row],[old_price]]-Table1[[#This Row],[current_price]]</f>
        <v>85</v>
      </c>
      <c r="F91" s="3">
        <f>Table1[[#This Row],[discount_calc]]/Table1[[#This Row],[old_price]]</f>
        <v>0.22135416666666666</v>
      </c>
      <c r="G91" s="1">
        <v>0.22</v>
      </c>
      <c r="H91" s="1" t="str" cm="1">
        <f t="array" ref="H91">_xlfn.IFS(Table1[[#This Row],[%discount_calc]]&lt;20%,"Low",Table1[[#This Row],[%discount_calc]]&lt;=40%,"Medium",Table1[[#This Row],[%discount_calc]]&gt;40%,"High")</f>
        <v>Medium</v>
      </c>
      <c r="I91">
        <v>7</v>
      </c>
      <c r="J91">
        <v>4.2</v>
      </c>
      <c r="K91" t="str" cm="1">
        <f t="array" ref="K91">_xlfn.IFS(Table1[[#This Row],[rating]]&lt;=3,"Poor", Table1[[#This Row],[rating]]&lt;=4.2,"Average", Table1[[#This Row],[rating]]&gt;4.2,"Excellent")</f>
        <v>Average</v>
      </c>
    </row>
    <row r="92" spans="1:11" x14ac:dyDescent="0.5">
      <c r="A92" t="s">
        <v>22</v>
      </c>
      <c r="B92" s="2">
        <v>1740</v>
      </c>
      <c r="C92" s="2">
        <v>2356</v>
      </c>
      <c r="D92" s="2" t="str" cm="1">
        <f t="array" ref="D92">_xlfn.IFS(Table1[[#This Row],[current_price]]&lt;=500,"Inexpensive",Table1[[#This Row],[current_price]]&lt;=1500,"Moderate",Table1[[#This Row],[current_price]]&gt;1500,"Expensive")</f>
        <v>Expensive</v>
      </c>
      <c r="E92" s="2">
        <f>Table1[[#This Row],[old_price]]-Table1[[#This Row],[current_price]]</f>
        <v>616</v>
      </c>
      <c r="F92" s="3">
        <f>Table1[[#This Row],[discount_calc]]/Table1[[#This Row],[old_price]]</f>
        <v>0.26146010186757218</v>
      </c>
      <c r="G92" s="1">
        <v>0.26</v>
      </c>
      <c r="H92" s="1" t="str" cm="1">
        <f t="array" ref="H92">_xlfn.IFS(Table1[[#This Row],[%discount_calc]]&lt;20%,"Low",Table1[[#This Row],[%discount_calc]]&lt;=40%,"Medium",Table1[[#This Row],[%discount_calc]]&gt;40%,"High")</f>
        <v>Medium</v>
      </c>
      <c r="I92">
        <v>5</v>
      </c>
      <c r="J92">
        <v>4.8</v>
      </c>
      <c r="K92" t="str" cm="1">
        <f t="array" ref="K92">_xlfn.IFS(Table1[[#This Row],[rating]]&lt;=3,"Poor", Table1[[#This Row],[rating]]&lt;=4.2,"Average", Table1[[#This Row],[rating]]&gt;4.2,"Excellent")</f>
        <v>Excellent</v>
      </c>
    </row>
    <row r="93" spans="1:11" x14ac:dyDescent="0.5">
      <c r="A93" t="s">
        <v>14</v>
      </c>
      <c r="B93" s="2">
        <v>2199</v>
      </c>
      <c r="C93" s="2">
        <v>2923</v>
      </c>
      <c r="D93" s="2" t="str" cm="1">
        <f t="array" ref="D93">_xlfn.IFS(Table1[[#This Row],[current_price]]&lt;=500,"Inexpensive",Table1[[#This Row],[current_price]]&lt;=1500,"Moderate",Table1[[#This Row],[current_price]]&gt;1500,"Expensive")</f>
        <v>Expensive</v>
      </c>
      <c r="E93" s="2">
        <f>Table1[[#This Row],[old_price]]-Table1[[#This Row],[current_price]]</f>
        <v>724</v>
      </c>
      <c r="F93" s="3">
        <f>Table1[[#This Row],[discount_calc]]/Table1[[#This Row],[old_price]]</f>
        <v>0.24769072870338693</v>
      </c>
      <c r="G93" s="1">
        <v>0.25</v>
      </c>
      <c r="H93" s="1" t="str" cm="1">
        <f t="array" ref="H93">_xlfn.IFS(Table1[[#This Row],[%discount_calc]]&lt;20%,"Low",Table1[[#This Row],[%discount_calc]]&lt;=40%,"Medium",Table1[[#This Row],[%discount_calc]]&gt;40%,"High")</f>
        <v>Medium</v>
      </c>
      <c r="I93">
        <v>24</v>
      </c>
      <c r="J93">
        <v>4.5999999999999996</v>
      </c>
      <c r="K93" t="str" cm="1">
        <f t="array" ref="K93">_xlfn.IFS(Table1[[#This Row],[rating]]&lt;=3,"Poor", Table1[[#This Row],[rating]]&lt;=4.2,"Average", Table1[[#This Row],[rating]]&gt;4.2,"Excellent")</f>
        <v>Excellent</v>
      </c>
    </row>
    <row r="94" spans="1:11" x14ac:dyDescent="0.5">
      <c r="A94" t="s">
        <v>282</v>
      </c>
      <c r="B94" s="2">
        <v>1462</v>
      </c>
      <c r="C94" s="2">
        <v>1499</v>
      </c>
      <c r="D94" s="2" t="str" cm="1">
        <f t="array" ref="D94">_xlfn.IFS(Table1[[#This Row],[current_price]]&lt;=500,"Inexpensive",Table1[[#This Row],[current_price]]&lt;=1500,"Moderate",Table1[[#This Row],[current_price]]&gt;1500,"Expensive")</f>
        <v>Moderate</v>
      </c>
      <c r="E94" s="2">
        <f>Table1[[#This Row],[old_price]]-Table1[[#This Row],[current_price]]</f>
        <v>37</v>
      </c>
      <c r="F94" s="3">
        <f>Table1[[#This Row],[discount_calc]]/Table1[[#This Row],[old_price]]</f>
        <v>2.4683122081387593E-2</v>
      </c>
      <c r="G94" s="1">
        <v>0.02</v>
      </c>
      <c r="H94" s="1" t="str" cm="1">
        <f t="array" ref="H94">_xlfn.IFS(Table1[[#This Row],[%discount_calc]]&lt;20%,"Low",Table1[[#This Row],[%discount_calc]]&lt;=40%,"Medium",Table1[[#This Row],[%discount_calc]]&gt;40%,"High")</f>
        <v>Low</v>
      </c>
      <c r="I94">
        <v>7</v>
      </c>
      <c r="J94">
        <v>4.2</v>
      </c>
      <c r="K94" t="str" cm="1">
        <f t="array" ref="K94">_xlfn.IFS(Table1[[#This Row],[rating]]&lt;=3,"Poor", Table1[[#This Row],[rating]]&lt;=4.2,"Average", Table1[[#This Row],[rating]]&gt;4.2,"Excellent")</f>
        <v>Average</v>
      </c>
    </row>
    <row r="95" spans="1:11" x14ac:dyDescent="0.5">
      <c r="A95" t="s">
        <v>92</v>
      </c>
      <c r="B95" s="2">
        <v>2880</v>
      </c>
      <c r="C95" s="2">
        <v>3520</v>
      </c>
      <c r="D95" s="2" t="str" cm="1">
        <f t="array" ref="D95">_xlfn.IFS(Table1[[#This Row],[current_price]]&lt;=500,"Inexpensive",Table1[[#This Row],[current_price]]&lt;=1500,"Moderate",Table1[[#This Row],[current_price]]&gt;1500,"Expensive")</f>
        <v>Expensive</v>
      </c>
      <c r="E95" s="2">
        <f>Table1[[#This Row],[old_price]]-Table1[[#This Row],[current_price]]</f>
        <v>640</v>
      </c>
      <c r="F95" s="3">
        <f>Table1[[#This Row],[discount_calc]]/Table1[[#This Row],[old_price]]</f>
        <v>0.18181818181818182</v>
      </c>
      <c r="G95" s="1">
        <v>0.18</v>
      </c>
      <c r="H95" s="1" t="str" cm="1">
        <f t="array" ref="H95">_xlfn.IFS(Table1[[#This Row],[%discount_calc]]&lt;20%,"Low",Table1[[#This Row],[%discount_calc]]&lt;=40%,"Medium",Table1[[#This Row],[%discount_calc]]&gt;40%,"High")</f>
        <v>Low</v>
      </c>
      <c r="I95">
        <v>12</v>
      </c>
      <c r="J95">
        <v>3.8</v>
      </c>
      <c r="K95" t="str" cm="1">
        <f t="array" ref="K95">_xlfn.IFS(Table1[[#This Row],[rating]]&lt;=3,"Poor", Table1[[#This Row],[rating]]&lt;=4.2,"Average", Table1[[#This Row],[rating]]&gt;4.2,"Excellent")</f>
        <v>Average</v>
      </c>
    </row>
    <row r="96" spans="1:11" x14ac:dyDescent="0.5">
      <c r="A96" t="s">
        <v>272</v>
      </c>
      <c r="B96" s="2">
        <v>1300</v>
      </c>
      <c r="C96" s="2">
        <v>2500</v>
      </c>
      <c r="D96" s="2" t="str" cm="1">
        <f t="array" ref="D96">_xlfn.IFS(Table1[[#This Row],[current_price]]&lt;=500,"Inexpensive",Table1[[#This Row],[current_price]]&lt;=1500,"Moderate",Table1[[#This Row],[current_price]]&gt;1500,"Expensive")</f>
        <v>Moderate</v>
      </c>
      <c r="E96" s="2">
        <f>Table1[[#This Row],[old_price]]-Table1[[#This Row],[current_price]]</f>
        <v>1200</v>
      </c>
      <c r="F96" s="3">
        <f>Table1[[#This Row],[discount_calc]]/Table1[[#This Row],[old_price]]</f>
        <v>0.48</v>
      </c>
      <c r="G96" s="1">
        <v>0.48</v>
      </c>
      <c r="H96" s="1" t="str" cm="1">
        <f t="array" ref="H96">_xlfn.IFS(Table1[[#This Row],[%discount_calc]]&lt;20%,"Low",Table1[[#This Row],[%discount_calc]]&lt;=40%,"Medium",Table1[[#This Row],[%discount_calc]]&gt;40%,"High")</f>
        <v>High</v>
      </c>
      <c r="I96">
        <v>7</v>
      </c>
      <c r="J96">
        <v>4.2</v>
      </c>
      <c r="K96" t="str" cm="1">
        <f t="array" ref="K96">_xlfn.IFS(Table1[[#This Row],[rating]]&lt;=3,"Poor", Table1[[#This Row],[rating]]&lt;=4.2,"Average", Table1[[#This Row],[rating]]&gt;4.2,"Excellent")</f>
        <v>Average</v>
      </c>
    </row>
    <row r="97" spans="1:11" x14ac:dyDescent="0.5">
      <c r="A97" t="s">
        <v>122</v>
      </c>
      <c r="B97">
        <v>389</v>
      </c>
      <c r="C97">
        <v>656</v>
      </c>
      <c r="D97" t="str" cm="1">
        <f t="array" ref="D97">_xlfn.IFS(Table1[[#This Row],[current_price]]&lt;=500,"Inexpensive",Table1[[#This Row],[current_price]]&lt;=1500,"Moderate",Table1[[#This Row],[current_price]]&gt;1500,"Expensive")</f>
        <v>Inexpensive</v>
      </c>
      <c r="E97">
        <f>Table1[[#This Row],[old_price]]-Table1[[#This Row],[current_price]]</f>
        <v>267</v>
      </c>
      <c r="F97" s="3">
        <f>Table1[[#This Row],[discount_calc]]/Table1[[#This Row],[old_price]]</f>
        <v>0.40701219512195119</v>
      </c>
      <c r="G97" s="1">
        <v>0.41</v>
      </c>
      <c r="H97" s="1" t="str" cm="1">
        <f t="array" ref="H97">_xlfn.IFS(Table1[[#This Row],[%discount_calc]]&lt;20%,"Low",Table1[[#This Row],[%discount_calc]]&lt;=40%,"Medium",Table1[[#This Row],[%discount_calc]]&gt;40%,"High")</f>
        <v>High</v>
      </c>
      <c r="I97">
        <v>36</v>
      </c>
      <c r="J97">
        <v>4.3</v>
      </c>
      <c r="K97" t="str" cm="1">
        <f t="array" ref="K97">_xlfn.IFS(Table1[[#This Row],[rating]]&lt;=3,"Poor", Table1[[#This Row],[rating]]&lt;=4.2,"Average", Table1[[#This Row],[rating]]&gt;4.2,"Excellent")</f>
        <v>Excellent</v>
      </c>
    </row>
    <row r="98" spans="1:11" x14ac:dyDescent="0.5">
      <c r="A98" t="s">
        <v>274</v>
      </c>
      <c r="B98">
        <v>105</v>
      </c>
      <c r="C98">
        <v>200</v>
      </c>
      <c r="D98" t="str" cm="1">
        <f t="array" ref="D98">_xlfn.IFS(Table1[[#This Row],[current_price]]&lt;=500,"Inexpensive",Table1[[#This Row],[current_price]]&lt;=1500,"Moderate",Table1[[#This Row],[current_price]]&gt;1500,"Expensive")</f>
        <v>Inexpensive</v>
      </c>
      <c r="E98">
        <f>Table1[[#This Row],[old_price]]-Table1[[#This Row],[current_price]]</f>
        <v>95</v>
      </c>
      <c r="F98" s="3">
        <f>Table1[[#This Row],[discount_calc]]/Table1[[#This Row],[old_price]]</f>
        <v>0.47499999999999998</v>
      </c>
      <c r="G98" s="1">
        <v>0.48</v>
      </c>
      <c r="H98" s="1" t="str" cm="1">
        <f t="array" ref="H98">_xlfn.IFS(Table1[[#This Row],[%discount_calc]]&lt;20%,"Low",Table1[[#This Row],[%discount_calc]]&lt;=40%,"Medium",Table1[[#This Row],[%discount_calc]]&gt;40%,"High")</f>
        <v>High</v>
      </c>
      <c r="I98">
        <v>7</v>
      </c>
      <c r="J98">
        <v>4.2</v>
      </c>
      <c r="K98" t="str" cm="1">
        <f t="array" ref="K98">_xlfn.IFS(Table1[[#This Row],[rating]]&lt;=3,"Poor", Table1[[#This Row],[rating]]&lt;=4.2,"Average", Table1[[#This Row],[rating]]&gt;4.2,"Excellent")</f>
        <v>Average</v>
      </c>
    </row>
    <row r="99" spans="1:11" x14ac:dyDescent="0.5">
      <c r="A99" t="s">
        <v>140</v>
      </c>
      <c r="B99" s="2">
        <v>2132</v>
      </c>
      <c r="C99" s="2">
        <v>2169</v>
      </c>
      <c r="D99" s="2" t="str" cm="1">
        <f t="array" ref="D99">_xlfn.IFS(Table1[[#This Row],[current_price]]&lt;=500,"Inexpensive",Table1[[#This Row],[current_price]]&lt;=1500,"Moderate",Table1[[#This Row],[current_price]]&gt;1500,"Expensive")</f>
        <v>Expensive</v>
      </c>
      <c r="E99" s="2">
        <f>Table1[[#This Row],[old_price]]-Table1[[#This Row],[current_price]]</f>
        <v>37</v>
      </c>
      <c r="F99" s="3">
        <f>Table1[[#This Row],[discount_calc]]/Table1[[#This Row],[old_price]]</f>
        <v>1.705855232826187E-2</v>
      </c>
      <c r="G99" s="1">
        <v>0.02</v>
      </c>
      <c r="H99" s="1" t="str" cm="1">
        <f t="array" ref="H99">_xlfn.IFS(Table1[[#This Row],[%discount_calc]]&lt;20%,"Low",Table1[[#This Row],[%discount_calc]]&lt;=40%,"Medium",Table1[[#This Row],[%discount_calc]]&gt;40%,"High")</f>
        <v>Low</v>
      </c>
      <c r="I99">
        <v>7</v>
      </c>
      <c r="J99">
        <v>4.2</v>
      </c>
      <c r="K99" t="str" cm="1">
        <f t="array" ref="K99">_xlfn.IFS(Table1[[#This Row],[rating]]&lt;=3,"Poor", Table1[[#This Row],[rating]]&lt;=4.2,"Average", Table1[[#This Row],[rating]]&gt;4.2,"Excellent")</f>
        <v>Average</v>
      </c>
    </row>
    <row r="100" spans="1:11" x14ac:dyDescent="0.5">
      <c r="A100" t="s">
        <v>312</v>
      </c>
      <c r="B100" s="2">
        <v>1658</v>
      </c>
      <c r="C100" s="2">
        <v>1699</v>
      </c>
      <c r="D100" s="2" t="str" cm="1">
        <f t="array" ref="D100">_xlfn.IFS(Table1[[#This Row],[current_price]]&lt;=500,"Inexpensive",Table1[[#This Row],[current_price]]&lt;=1500,"Moderate",Table1[[#This Row],[current_price]]&gt;1500,"Expensive")</f>
        <v>Expensive</v>
      </c>
      <c r="E100" s="2">
        <f>Table1[[#This Row],[old_price]]-Table1[[#This Row],[current_price]]</f>
        <v>41</v>
      </c>
      <c r="F100" s="3">
        <f>Table1[[#This Row],[discount_calc]]/Table1[[#This Row],[old_price]]</f>
        <v>2.4131842260153032E-2</v>
      </c>
      <c r="G100" s="1">
        <v>0.02</v>
      </c>
      <c r="H100" s="1" t="str" cm="1">
        <f t="array" ref="H100">_xlfn.IFS(Table1[[#This Row],[%discount_calc]]&lt;20%,"Low",Table1[[#This Row],[%discount_calc]]&lt;=40%,"Medium",Table1[[#This Row],[%discount_calc]]&gt;40%,"High")</f>
        <v>Low</v>
      </c>
      <c r="I100">
        <v>7</v>
      </c>
      <c r="J100">
        <v>4.2</v>
      </c>
      <c r="K100" t="str" cm="1">
        <f t="array" ref="K100">_xlfn.IFS(Table1[[#This Row],[rating]]&lt;=3,"Poor", Table1[[#This Row],[rating]]&lt;=4.2,"Average", Table1[[#This Row],[rating]]&gt;4.2,"Excellent")</f>
        <v>Average</v>
      </c>
    </row>
    <row r="101" spans="1:11" x14ac:dyDescent="0.5">
      <c r="A101" t="s">
        <v>170</v>
      </c>
      <c r="B101">
        <v>499</v>
      </c>
      <c r="C101">
        <v>900</v>
      </c>
      <c r="D101" t="str" cm="1">
        <f t="array" ref="D101">_xlfn.IFS(Table1[[#This Row],[current_price]]&lt;=500,"Inexpensive",Table1[[#This Row],[current_price]]&lt;=1500,"Moderate",Table1[[#This Row],[current_price]]&gt;1500,"Expensive")</f>
        <v>Inexpensive</v>
      </c>
      <c r="E101">
        <f>Table1[[#This Row],[old_price]]-Table1[[#This Row],[current_price]]</f>
        <v>401</v>
      </c>
      <c r="F101" s="3">
        <f>Table1[[#This Row],[discount_calc]]/Table1[[#This Row],[old_price]]</f>
        <v>0.44555555555555554</v>
      </c>
      <c r="G101" s="1">
        <v>0.45</v>
      </c>
      <c r="H101" s="1" t="str" cm="1">
        <f t="array" ref="H101">_xlfn.IFS(Table1[[#This Row],[%discount_calc]]&lt;20%,"Low",Table1[[#This Row],[%discount_calc]]&lt;=40%,"Medium",Table1[[#This Row],[%discount_calc]]&gt;40%,"High")</f>
        <v>High</v>
      </c>
      <c r="I101">
        <v>7</v>
      </c>
      <c r="J101">
        <v>4.2</v>
      </c>
      <c r="K101" t="str" cm="1">
        <f t="array" ref="K101">_xlfn.IFS(Table1[[#This Row],[rating]]&lt;=3,"Poor", Table1[[#This Row],[rating]]&lt;=4.2,"Average", Table1[[#This Row],[rating]]&gt;4.2,"Excellent")</f>
        <v>Average</v>
      </c>
    </row>
    <row r="102" spans="1:11" x14ac:dyDescent="0.5">
      <c r="A102" t="s">
        <v>314</v>
      </c>
      <c r="B102" s="2">
        <v>1768</v>
      </c>
      <c r="C102" s="2">
        <v>1799</v>
      </c>
      <c r="D102" s="2" t="str" cm="1">
        <f t="array" ref="D102">_xlfn.IFS(Table1[[#This Row],[current_price]]&lt;=500,"Inexpensive",Table1[[#This Row],[current_price]]&lt;=1500,"Moderate",Table1[[#This Row],[current_price]]&gt;1500,"Expensive")</f>
        <v>Expensive</v>
      </c>
      <c r="E102" s="2">
        <f>Table1[[#This Row],[old_price]]-Table1[[#This Row],[current_price]]</f>
        <v>31</v>
      </c>
      <c r="F102" s="3">
        <f>Table1[[#This Row],[discount_calc]]/Table1[[#This Row],[old_price]]</f>
        <v>1.7231795441912175E-2</v>
      </c>
      <c r="G102" s="1">
        <v>0.02</v>
      </c>
      <c r="H102" s="1" t="str" cm="1">
        <f t="array" ref="H102">_xlfn.IFS(Table1[[#This Row],[%discount_calc]]&lt;20%,"Low",Table1[[#This Row],[%discount_calc]]&lt;=40%,"Medium",Table1[[#This Row],[%discount_calc]]&gt;40%,"High")</f>
        <v>Low</v>
      </c>
      <c r="I102">
        <v>7</v>
      </c>
      <c r="J102">
        <v>4.2</v>
      </c>
      <c r="K102" t="str" cm="1">
        <f t="array" ref="K102">_xlfn.IFS(Table1[[#This Row],[rating]]&lt;=3,"Poor", Table1[[#This Row],[rating]]&lt;=4.2,"Average", Table1[[#This Row],[rating]]&gt;4.2,"Excellent")</f>
        <v>Average</v>
      </c>
    </row>
    <row r="103" spans="1:11" x14ac:dyDescent="0.5">
      <c r="A103" t="s">
        <v>202</v>
      </c>
      <c r="B103" s="2">
        <v>1220</v>
      </c>
      <c r="C103" s="2">
        <v>1555</v>
      </c>
      <c r="D103" s="2" t="str" cm="1">
        <f t="array" ref="D103">_xlfn.IFS(Table1[[#This Row],[current_price]]&lt;=500,"Inexpensive",Table1[[#This Row],[current_price]]&lt;=1500,"Moderate",Table1[[#This Row],[current_price]]&gt;1500,"Expensive")</f>
        <v>Moderate</v>
      </c>
      <c r="E103" s="2">
        <f>Table1[[#This Row],[old_price]]-Table1[[#This Row],[current_price]]</f>
        <v>335</v>
      </c>
      <c r="F103" s="3">
        <f>Table1[[#This Row],[discount_calc]]/Table1[[#This Row],[old_price]]</f>
        <v>0.21543408360128619</v>
      </c>
      <c r="G103" s="1">
        <v>0.22</v>
      </c>
      <c r="H103" s="1" t="str" cm="1">
        <f t="array" ref="H103">_xlfn.IFS(Table1[[#This Row],[%discount_calc]]&lt;20%,"Low",Table1[[#This Row],[%discount_calc]]&lt;=40%,"Medium",Table1[[#This Row],[%discount_calc]]&gt;40%,"High")</f>
        <v>Medium</v>
      </c>
      <c r="I103">
        <v>16</v>
      </c>
      <c r="J103">
        <v>2.9</v>
      </c>
      <c r="K103" t="str" cm="1">
        <f t="array" ref="K103">_xlfn.IFS(Table1[[#This Row],[rating]]&lt;=3,"Poor", Table1[[#This Row],[rating]]&lt;=4.2,"Average", Table1[[#This Row],[rating]]&gt;4.2,"Excellent")</f>
        <v>Poor</v>
      </c>
    </row>
    <row r="104" spans="1:11" x14ac:dyDescent="0.5">
      <c r="A104" t="s">
        <v>269</v>
      </c>
      <c r="B104">
        <v>850</v>
      </c>
      <c r="C104" s="2">
        <v>1700</v>
      </c>
      <c r="D104" s="2" t="str" cm="1">
        <f t="array" ref="D104">_xlfn.IFS(Table1[[#This Row],[current_price]]&lt;=500,"Inexpensive",Table1[[#This Row],[current_price]]&lt;=1500,"Moderate",Table1[[#This Row],[current_price]]&gt;1500,"Expensive")</f>
        <v>Moderate</v>
      </c>
      <c r="E104" s="2">
        <f>Table1[[#This Row],[old_price]]-Table1[[#This Row],[current_price]]</f>
        <v>850</v>
      </c>
      <c r="F104" s="3">
        <f>Table1[[#This Row],[discount_calc]]/Table1[[#This Row],[old_price]]</f>
        <v>0.5</v>
      </c>
      <c r="G104" s="1">
        <v>0.5</v>
      </c>
      <c r="H104" s="1" t="str" cm="1">
        <f t="array" ref="H104">_xlfn.IFS(Table1[[#This Row],[%discount_calc]]&lt;20%,"Low",Table1[[#This Row],[%discount_calc]]&lt;=40%,"Medium",Table1[[#This Row],[%discount_calc]]&gt;40%,"High")</f>
        <v>High</v>
      </c>
      <c r="I104">
        <v>7</v>
      </c>
      <c r="J104">
        <v>4.2</v>
      </c>
      <c r="K104" t="str" cm="1">
        <f t="array" ref="K104">_xlfn.IFS(Table1[[#This Row],[rating]]&lt;=3,"Poor", Table1[[#This Row],[rating]]&lt;=4.2,"Average", Table1[[#This Row],[rating]]&gt;4.2,"Excellent")</f>
        <v>Average</v>
      </c>
    </row>
    <row r="105" spans="1:11" x14ac:dyDescent="0.5">
      <c r="A105" t="s">
        <v>280</v>
      </c>
      <c r="B105" s="2">
        <v>1526</v>
      </c>
      <c r="C105" s="2">
        <v>1660</v>
      </c>
      <c r="D105" s="2" t="str" cm="1">
        <f t="array" ref="D105">_xlfn.IFS(Table1[[#This Row],[current_price]]&lt;=500,"Inexpensive",Table1[[#This Row],[current_price]]&lt;=1500,"Moderate",Table1[[#This Row],[current_price]]&gt;1500,"Expensive")</f>
        <v>Expensive</v>
      </c>
      <c r="E105" s="2">
        <f>Table1[[#This Row],[old_price]]-Table1[[#This Row],[current_price]]</f>
        <v>134</v>
      </c>
      <c r="F105" s="3">
        <f>Table1[[#This Row],[discount_calc]]/Table1[[#This Row],[old_price]]</f>
        <v>8.0722891566265054E-2</v>
      </c>
      <c r="G105" s="1">
        <v>0.08</v>
      </c>
      <c r="H105" s="1" t="str" cm="1">
        <f t="array" ref="H105">_xlfn.IFS(Table1[[#This Row],[%discount_calc]]&lt;20%,"Low",Table1[[#This Row],[%discount_calc]]&lt;=40%,"Medium",Table1[[#This Row],[%discount_calc]]&gt;40%,"High")</f>
        <v>Low</v>
      </c>
      <c r="I105">
        <v>7</v>
      </c>
      <c r="J105">
        <v>4.2</v>
      </c>
      <c r="K105" t="str" cm="1">
        <f t="array" ref="K105">_xlfn.IFS(Table1[[#This Row],[rating]]&lt;=3,"Poor", Table1[[#This Row],[rating]]&lt;=4.2,"Average", Table1[[#This Row],[rating]]&gt;4.2,"Excellent")</f>
        <v>Average</v>
      </c>
    </row>
    <row r="106" spans="1:11" x14ac:dyDescent="0.5">
      <c r="A106" t="s">
        <v>318</v>
      </c>
      <c r="B106">
        <v>450</v>
      </c>
      <c r="C106">
        <v>900</v>
      </c>
      <c r="D106" t="str" cm="1">
        <f t="array" ref="D106">_xlfn.IFS(Table1[[#This Row],[current_price]]&lt;=500,"Inexpensive",Table1[[#This Row],[current_price]]&lt;=1500,"Moderate",Table1[[#This Row],[current_price]]&gt;1500,"Expensive")</f>
        <v>Inexpensive</v>
      </c>
      <c r="E106">
        <f>Table1[[#This Row],[old_price]]-Table1[[#This Row],[current_price]]</f>
        <v>450</v>
      </c>
      <c r="F106" s="3">
        <f>Table1[[#This Row],[discount_calc]]/Table1[[#This Row],[old_price]]</f>
        <v>0.5</v>
      </c>
      <c r="G106" s="1">
        <v>0.5</v>
      </c>
      <c r="H106" s="1" t="str" cm="1">
        <f t="array" ref="H106">_xlfn.IFS(Table1[[#This Row],[%discount_calc]]&lt;20%,"Low",Table1[[#This Row],[%discount_calc]]&lt;=40%,"Medium",Table1[[#This Row],[%discount_calc]]&gt;40%,"High")</f>
        <v>High</v>
      </c>
      <c r="I106">
        <v>1</v>
      </c>
      <c r="J106">
        <v>2</v>
      </c>
      <c r="K106" t="str" cm="1">
        <f t="array" ref="K106">_xlfn.IFS(Table1[[#This Row],[rating]]&lt;=3,"Poor", Table1[[#This Row],[rating]]&lt;=4.2,"Average", Table1[[#This Row],[rating]]&gt;4.2,"Excellent")</f>
        <v>Poor</v>
      </c>
    </row>
    <row r="107" spans="1:11" x14ac:dyDescent="0.5">
      <c r="A107" t="s">
        <v>264</v>
      </c>
      <c r="B107" s="2">
        <v>1468</v>
      </c>
      <c r="C107" s="2">
        <v>1699</v>
      </c>
      <c r="D107" s="2" t="str" cm="1">
        <f t="array" ref="D107">_xlfn.IFS(Table1[[#This Row],[current_price]]&lt;=500,"Inexpensive",Table1[[#This Row],[current_price]]&lt;=1500,"Moderate",Table1[[#This Row],[current_price]]&gt;1500,"Expensive")</f>
        <v>Moderate</v>
      </c>
      <c r="E107" s="2">
        <f>Table1[[#This Row],[old_price]]-Table1[[#This Row],[current_price]]</f>
        <v>231</v>
      </c>
      <c r="F107" s="3">
        <f>Table1[[#This Row],[discount_calc]]/Table1[[#This Row],[old_price]]</f>
        <v>0.13596233078281342</v>
      </c>
      <c r="G107" s="1">
        <v>0.14000000000000001</v>
      </c>
      <c r="H107" s="1" t="str" cm="1">
        <f t="array" ref="H107">_xlfn.IFS(Table1[[#This Row],[%discount_calc]]&lt;20%,"Low",Table1[[#This Row],[%discount_calc]]&lt;=40%,"Medium",Table1[[#This Row],[%discount_calc]]&gt;40%,"High")</f>
        <v>Low</v>
      </c>
      <c r="I107">
        <v>7</v>
      </c>
      <c r="J107">
        <v>4.2</v>
      </c>
      <c r="K107" t="str" cm="1">
        <f t="array" ref="K107">_xlfn.IFS(Table1[[#This Row],[rating]]&lt;=3,"Poor", Table1[[#This Row],[rating]]&lt;=4.2,"Average", Table1[[#This Row],[rating]]&gt;4.2,"Excellent")</f>
        <v>Average</v>
      </c>
    </row>
    <row r="108" spans="1:11" x14ac:dyDescent="0.5">
      <c r="A108" t="s">
        <v>221</v>
      </c>
      <c r="B108">
        <v>345</v>
      </c>
      <c r="C108">
        <v>602</v>
      </c>
      <c r="D108" t="str" cm="1">
        <f t="array" ref="D108">_xlfn.IFS(Table1[[#This Row],[current_price]]&lt;=500,"Inexpensive",Table1[[#This Row],[current_price]]&lt;=1500,"Moderate",Table1[[#This Row],[current_price]]&gt;1500,"Expensive")</f>
        <v>Inexpensive</v>
      </c>
      <c r="E108">
        <f>Table1[[#This Row],[old_price]]-Table1[[#This Row],[current_price]]</f>
        <v>257</v>
      </c>
      <c r="F108" s="3">
        <f>Table1[[#This Row],[discount_calc]]/Table1[[#This Row],[old_price]]</f>
        <v>0.42691029900332228</v>
      </c>
      <c r="G108" s="1">
        <v>0.43</v>
      </c>
      <c r="H108" s="1" t="str" cm="1">
        <f t="array" ref="H108">_xlfn.IFS(Table1[[#This Row],[%discount_calc]]&lt;20%,"Low",Table1[[#This Row],[%discount_calc]]&lt;=40%,"Medium",Table1[[#This Row],[%discount_calc]]&gt;40%,"High")</f>
        <v>High</v>
      </c>
      <c r="I108">
        <v>6</v>
      </c>
      <c r="J108">
        <v>2.2999999999999998</v>
      </c>
      <c r="K108" t="str" cm="1">
        <f t="array" ref="K108">_xlfn.IFS(Table1[[#This Row],[rating]]&lt;=3,"Poor", Table1[[#This Row],[rating]]&lt;=4.2,"Average", Table1[[#This Row],[rating]]&gt;4.2,"Excellent")</f>
        <v>Poor</v>
      </c>
    </row>
    <row r="109" spans="1:11" x14ac:dyDescent="0.5">
      <c r="A109" t="s">
        <v>18</v>
      </c>
      <c r="B109" s="2">
        <v>1580</v>
      </c>
      <c r="C109" s="2">
        <v>2499</v>
      </c>
      <c r="D109" s="2" t="str" cm="1">
        <f t="array" ref="D109">_xlfn.IFS(Table1[[#This Row],[current_price]]&lt;=500,"Inexpensive",Table1[[#This Row],[current_price]]&lt;=1500,"Moderate",Table1[[#This Row],[current_price]]&gt;1500,"Expensive")</f>
        <v>Expensive</v>
      </c>
      <c r="E109" s="2">
        <f>Table1[[#This Row],[old_price]]-Table1[[#This Row],[current_price]]</f>
        <v>919</v>
      </c>
      <c r="F109" s="3">
        <f>Table1[[#This Row],[discount_calc]]/Table1[[#This Row],[old_price]]</f>
        <v>0.36774709883953582</v>
      </c>
      <c r="G109" s="1">
        <v>0.37</v>
      </c>
      <c r="H109" s="1" t="str" cm="1">
        <f t="array" ref="H109">_xlfn.IFS(Table1[[#This Row],[%discount_calc]]&lt;20%,"Low",Table1[[#This Row],[%discount_calc]]&lt;=40%,"Medium",Table1[[#This Row],[%discount_calc]]&gt;40%,"High")</f>
        <v>Medium</v>
      </c>
      <c r="I109">
        <v>7</v>
      </c>
      <c r="J109">
        <v>4.7</v>
      </c>
      <c r="K109" t="str" cm="1">
        <f t="array" ref="K109">_xlfn.IFS(Table1[[#This Row],[rating]]&lt;=3,"Poor", Table1[[#This Row],[rating]]&lt;=4.2,"Average", Table1[[#This Row],[rating]]&gt;4.2,"Excellent")</f>
        <v>Excellent</v>
      </c>
    </row>
    <row r="110" spans="1:11" x14ac:dyDescent="0.5">
      <c r="A110" t="s">
        <v>224</v>
      </c>
      <c r="B110">
        <v>509</v>
      </c>
      <c r="C110">
        <v>899</v>
      </c>
      <c r="D110" t="str" cm="1">
        <f t="array" ref="D110">_xlfn.IFS(Table1[[#This Row],[current_price]]&lt;=500,"Inexpensive",Table1[[#This Row],[current_price]]&lt;=1500,"Moderate",Table1[[#This Row],[current_price]]&gt;1500,"Expensive")</f>
        <v>Moderate</v>
      </c>
      <c r="E110">
        <f>Table1[[#This Row],[old_price]]-Table1[[#This Row],[current_price]]</f>
        <v>390</v>
      </c>
      <c r="F110" s="3">
        <f>Table1[[#This Row],[discount_calc]]/Table1[[#This Row],[old_price]]</f>
        <v>0.43381535038932145</v>
      </c>
      <c r="G110" s="1">
        <v>0.43</v>
      </c>
      <c r="H110" s="1" t="str" cm="1">
        <f t="array" ref="H110">_xlfn.IFS(Table1[[#This Row],[%discount_calc]]&lt;20%,"Low",Table1[[#This Row],[%discount_calc]]&lt;=40%,"Medium",Table1[[#This Row],[%discount_calc]]&gt;40%,"High")</f>
        <v>High</v>
      </c>
      <c r="I110">
        <v>5</v>
      </c>
      <c r="J110">
        <v>3</v>
      </c>
      <c r="K110" t="str" cm="1">
        <f t="array" ref="K110">_xlfn.IFS(Table1[[#This Row],[rating]]&lt;=3,"Poor", Table1[[#This Row],[rating]]&lt;=4.2,"Average", Table1[[#This Row],[rating]]&gt;4.2,"Excellent")</f>
        <v>Poor</v>
      </c>
    </row>
    <row r="111" spans="1:11" x14ac:dyDescent="0.5">
      <c r="I111">
        <f>MEDIAN(I2:I110)</f>
        <v>7</v>
      </c>
      <c r="J111">
        <f>MEDIAN(J2:J110)</f>
        <v>4.2</v>
      </c>
    </row>
  </sheetData>
  <phoneticPr fontId="18"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19258-6840-4E44-BDCC-55A25C956078}">
  <dimension ref="A2:C40"/>
  <sheetViews>
    <sheetView workbookViewId="0">
      <selection activeCell="C55" sqref="C55"/>
    </sheetView>
  </sheetViews>
  <sheetFormatPr defaultRowHeight="16.5" x14ac:dyDescent="0.5"/>
  <cols>
    <col min="1" max="1" width="17.08984375" bestFit="1" customWidth="1"/>
    <col min="2" max="2" width="17.36328125" bestFit="1" customWidth="1"/>
    <col min="3" max="3" width="17.90625" bestFit="1" customWidth="1"/>
  </cols>
  <sheetData>
    <row r="2" spans="1:3" x14ac:dyDescent="0.5">
      <c r="A2" s="5" t="s">
        <v>334</v>
      </c>
      <c r="B2" t="s">
        <v>339</v>
      </c>
      <c r="C2" t="s">
        <v>360</v>
      </c>
    </row>
    <row r="3" spans="1:3" x14ac:dyDescent="0.5">
      <c r="A3" s="6" t="s">
        <v>356</v>
      </c>
      <c r="B3" s="13">
        <v>4.1135135135135128</v>
      </c>
      <c r="C3" s="13">
        <v>10.081081081081081</v>
      </c>
    </row>
    <row r="4" spans="1:3" x14ac:dyDescent="0.5">
      <c r="A4" s="6" t="s">
        <v>357</v>
      </c>
      <c r="B4" s="13">
        <v>3.9074074074074083</v>
      </c>
      <c r="C4" s="13">
        <v>11.962962962962964</v>
      </c>
    </row>
    <row r="5" spans="1:3" x14ac:dyDescent="0.5">
      <c r="A5" s="6" t="s">
        <v>358</v>
      </c>
      <c r="B5" s="13">
        <v>4.0533333333333319</v>
      </c>
      <c r="C5" s="13">
        <v>8.6888888888888882</v>
      </c>
    </row>
    <row r="6" spans="1:3" x14ac:dyDescent="0.5">
      <c r="A6" s="6" t="s">
        <v>359</v>
      </c>
      <c r="B6" s="13">
        <v>4.0376146788990788</v>
      </c>
      <c r="C6" s="13">
        <v>9.9724770642201843</v>
      </c>
    </row>
    <row r="21" spans="1:2" x14ac:dyDescent="0.5">
      <c r="A21" s="5" t="s">
        <v>355</v>
      </c>
      <c r="B21" t="s">
        <v>364</v>
      </c>
    </row>
    <row r="22" spans="1:2" x14ac:dyDescent="0.5">
      <c r="A22" s="6" t="s">
        <v>316</v>
      </c>
      <c r="B22" s="13">
        <v>0.64014466546112114</v>
      </c>
    </row>
    <row r="23" spans="1:2" x14ac:dyDescent="0.5">
      <c r="A23" s="6" t="s">
        <v>154</v>
      </c>
      <c r="B23" s="13">
        <v>0.60515873015873012</v>
      </c>
    </row>
    <row r="24" spans="1:2" x14ac:dyDescent="0.5">
      <c r="A24" s="6" t="s">
        <v>190</v>
      </c>
      <c r="B24" s="13">
        <v>0.55000000000000004</v>
      </c>
    </row>
    <row r="25" spans="1:2" x14ac:dyDescent="0.5">
      <c r="A25" s="6" t="s">
        <v>35</v>
      </c>
      <c r="B25" s="13">
        <v>0.54500000000000004</v>
      </c>
    </row>
    <row r="26" spans="1:2" x14ac:dyDescent="0.5">
      <c r="A26" s="6" t="s">
        <v>85</v>
      </c>
      <c r="B26" s="13">
        <v>0.54488888888888887</v>
      </c>
    </row>
    <row r="27" spans="1:2" x14ac:dyDescent="0.5">
      <c r="A27" s="6" t="s">
        <v>186</v>
      </c>
      <c r="B27" s="13">
        <v>0.53549695740365111</v>
      </c>
    </row>
    <row r="28" spans="1:2" x14ac:dyDescent="0.5">
      <c r="A28" s="6" t="s">
        <v>120</v>
      </c>
      <c r="B28" s="13">
        <v>0.52500000000000002</v>
      </c>
    </row>
    <row r="29" spans="1:2" x14ac:dyDescent="0.5">
      <c r="A29" s="6" t="s">
        <v>71</v>
      </c>
      <c r="B29" s="13">
        <v>0.52500000000000002</v>
      </c>
    </row>
    <row r="30" spans="1:2" x14ac:dyDescent="0.5">
      <c r="A30" s="6" t="s">
        <v>198</v>
      </c>
      <c r="B30" s="13">
        <v>0.5220588235294118</v>
      </c>
    </row>
    <row r="31" spans="1:2" x14ac:dyDescent="0.5">
      <c r="A31" s="6" t="s">
        <v>102</v>
      </c>
      <c r="B31" s="13">
        <v>0.51570680628272247</v>
      </c>
    </row>
    <row r="32" spans="1:2" x14ac:dyDescent="0.5">
      <c r="A32" s="6" t="s">
        <v>359</v>
      </c>
      <c r="B32" s="13">
        <v>5.508454871724525</v>
      </c>
    </row>
    <row r="36" spans="1:2" x14ac:dyDescent="0.5">
      <c r="A36" s="5" t="s">
        <v>379</v>
      </c>
      <c r="B36" t="s">
        <v>360</v>
      </c>
    </row>
    <row r="37" spans="1:2" x14ac:dyDescent="0.5">
      <c r="A37" s="6" t="s">
        <v>362</v>
      </c>
      <c r="B37" s="13">
        <v>7.5555555555555554</v>
      </c>
    </row>
    <row r="38" spans="1:2" x14ac:dyDescent="0.5">
      <c r="A38" s="6" t="s">
        <v>361</v>
      </c>
      <c r="B38" s="13">
        <v>9.101694915254237</v>
      </c>
    </row>
    <row r="39" spans="1:2" x14ac:dyDescent="0.5">
      <c r="A39" s="6" t="s">
        <v>363</v>
      </c>
      <c r="B39" s="13">
        <v>12.9375</v>
      </c>
    </row>
    <row r="40" spans="1:2" x14ac:dyDescent="0.5">
      <c r="A40" s="6" t="s">
        <v>359</v>
      </c>
      <c r="B40" s="13">
        <v>9.9724770642201843</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0EEAD-4C51-4DE8-9191-B3E3525FE2BA}">
  <dimension ref="A1:C11"/>
  <sheetViews>
    <sheetView workbookViewId="0">
      <selection activeCell="A10" sqref="A10"/>
    </sheetView>
  </sheetViews>
  <sheetFormatPr defaultRowHeight="16.5" x14ac:dyDescent="0.5"/>
  <cols>
    <col min="1" max="1" width="15" customWidth="1"/>
    <col min="2" max="2" width="14.26953125" bestFit="1" customWidth="1"/>
    <col min="4" max="4" width="14.90625" customWidth="1"/>
  </cols>
  <sheetData>
    <row r="1" spans="1:3" x14ac:dyDescent="0.5">
      <c r="A1" s="7" t="s">
        <v>348</v>
      </c>
    </row>
    <row r="2" spans="1:3" x14ac:dyDescent="0.5">
      <c r="A2" t="s">
        <v>349</v>
      </c>
      <c r="B2" t="s">
        <v>340</v>
      </c>
    </row>
    <row r="3" spans="1:3" x14ac:dyDescent="0.5">
      <c r="B3" s="13">
        <v>109</v>
      </c>
      <c r="C3">
        <f>GETPIVOTDATA("product",$B$2)</f>
        <v>109</v>
      </c>
    </row>
    <row r="4" spans="1:3" x14ac:dyDescent="0.5">
      <c r="A4" t="s">
        <v>350</v>
      </c>
      <c r="B4" t="s">
        <v>335</v>
      </c>
    </row>
    <row r="5" spans="1:3" x14ac:dyDescent="0.5">
      <c r="B5" s="13">
        <v>1208.2568807339449</v>
      </c>
      <c r="C5">
        <f>GETPIVOTDATA("current_price",$B$4)</f>
        <v>1208.2568807339449</v>
      </c>
    </row>
    <row r="6" spans="1:3" x14ac:dyDescent="0.5">
      <c r="A6" t="s">
        <v>351</v>
      </c>
      <c r="B6" t="s">
        <v>354</v>
      </c>
    </row>
    <row r="7" spans="1:3" x14ac:dyDescent="0.5">
      <c r="B7" s="13">
        <v>629.49541284403665</v>
      </c>
      <c r="C7">
        <f>GETPIVOTDATA("discount_calc",$B$6)</f>
        <v>629.49541284403665</v>
      </c>
    </row>
    <row r="8" spans="1:3" x14ac:dyDescent="0.5">
      <c r="A8" t="s">
        <v>352</v>
      </c>
      <c r="B8" t="s">
        <v>339</v>
      </c>
    </row>
    <row r="9" spans="1:3" x14ac:dyDescent="0.5">
      <c r="B9" s="13">
        <v>4.0376146788990788</v>
      </c>
      <c r="C9">
        <f>GETPIVOTDATA("rating",$B$8)</f>
        <v>4.0376146788990788</v>
      </c>
    </row>
    <row r="10" spans="1:3" x14ac:dyDescent="0.5">
      <c r="A10" t="s">
        <v>353</v>
      </c>
      <c r="B10" t="s">
        <v>342</v>
      </c>
    </row>
    <row r="11" spans="1:3" x14ac:dyDescent="0.5">
      <c r="B11" s="13">
        <v>1087</v>
      </c>
      <c r="C11">
        <f>GETPIVOTDATA("review",$B$10)</f>
        <v>1087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FBFC8-A138-49D5-BE09-99D0FA57B851}">
  <dimension ref="C3:C7"/>
  <sheetViews>
    <sheetView workbookViewId="0">
      <selection activeCell="J19" sqref="J19"/>
    </sheetView>
  </sheetViews>
  <sheetFormatPr defaultRowHeight="16.5" x14ac:dyDescent="0.5"/>
  <cols>
    <col min="3" max="3" width="13.7265625" bestFit="1" customWidth="1"/>
  </cols>
  <sheetData>
    <row r="3" spans="3:3" x14ac:dyDescent="0.5">
      <c r="C3" s="5" t="s">
        <v>355</v>
      </c>
    </row>
    <row r="4" spans="3:3" x14ac:dyDescent="0.5">
      <c r="C4" s="6" t="s">
        <v>356</v>
      </c>
    </row>
    <row r="5" spans="3:3" x14ac:dyDescent="0.5">
      <c r="C5" s="6" t="s">
        <v>357</v>
      </c>
    </row>
    <row r="6" spans="3:3" x14ac:dyDescent="0.5">
      <c r="C6" s="6" t="s">
        <v>358</v>
      </c>
    </row>
    <row r="7" spans="3:3" x14ac:dyDescent="0.5">
      <c r="C7" s="6" t="s">
        <v>359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CD72-2655-4062-A246-A37E09489F8A}">
  <dimension ref="A1"/>
  <sheetViews>
    <sheetView showGridLines="0" topLeftCell="A13" workbookViewId="0">
      <selection activeCell="C33" sqref="C33"/>
    </sheetView>
  </sheetViews>
  <sheetFormatPr defaultRowHeight="16.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Excel_jumia_dataset </vt:lpstr>
      <vt:lpstr>Descriptive Statistics</vt:lpstr>
      <vt:lpstr>Analyse trends and product perf</vt:lpstr>
      <vt:lpstr>working_copy</vt:lpstr>
      <vt:lpstr>Additional Pivot Tables</vt:lpstr>
      <vt:lpstr>KPIs</vt:lpstr>
      <vt:lpstr>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Ruto Robert</cp:lastModifiedBy>
  <dcterms:created xsi:type="dcterms:W3CDTF">2026-09-22T09:40:43Z</dcterms:created>
  <dcterms:modified xsi:type="dcterms:W3CDTF">2026-10-02T07:46:32Z</dcterms:modified>
</cp:coreProperties>
</file>